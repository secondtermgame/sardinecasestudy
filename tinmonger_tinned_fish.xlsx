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Data" sheetId="1" state="visible" r:id="rId3"/>
    <sheet name="Chart Data" sheetId="2" state="visible" r:id="rId4"/>
    <sheet name="Price per Gram Chart" sheetId="3" state="visible" r:id="rId5"/>
    <sheet name="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<sst xmlns="http://schemas.openxmlformats.org/spreadsheetml/2006/main" count="506" uniqueCount="273">
  <si>
    <t xml:space="preserve">Tinmonger – Tinned Fish Product Comparison (tinmonger.ca)</t>
  </si>
  <si>
    <t xml:space="preserve">Product Name</t>
  </si>
  <si>
    <t xml:space="preserve">Brand</t>
  </si>
  <si>
    <t xml:space="preserve">Country</t>
  </si>
  <si>
    <t xml:space="preserve">Fish Type</t>
  </si>
  <si>
    <t xml:space="preserve">Preparation</t>
  </si>
  <si>
    <t xml:space="preserve">Flavour / Additive</t>
  </si>
  <si>
    <t xml:space="preserve">Net Weight (g)</t>
  </si>
  <si>
    <t xml:space="preserve">Price (CAD$)</t>
  </si>
  <si>
    <t xml:space="preserve">Price per Gram ($/g)</t>
  </si>
  <si>
    <t xml:space="preserve">Label Aesthetic Style</t>
  </si>
  <si>
    <t xml:space="preserve">Label Colours</t>
  </si>
  <si>
    <t xml:space="preserve">Label Graphics &amp; Layout</t>
  </si>
  <si>
    <t xml:space="preserve">A Banca de Sardinha – 3 Pack Sardines</t>
  </si>
  <si>
    <t xml:space="preserve">A Banca de Sardinha</t>
  </si>
  <si>
    <t xml:space="preserve">Portugal</t>
  </si>
  <si>
    <t xml:space="preserve">Sardines</t>
  </si>
  <si>
    <t xml:space="preserve">In olive oil / lemon / spicy</t>
  </si>
  <si>
    <t xml:space="preserve">Multi-variety pack</t>
  </si>
  <si>
    <t xml:space="preserve">Deep navy &amp; cream with gold accents</t>
  </si>
  <si>
    <t xml:space="preserve">Vintage illustrated tin labels; hand-drawn sardine motifs; elegant serif typeface; collector-style gift packaging</t>
  </si>
  <si>
    <t xml:space="preserve">A Banca de Sardinha – Sardines in Lemon</t>
  </si>
  <si>
    <t xml:space="preserve">In olive oil</t>
  </si>
  <si>
    <t xml:space="preserve">Lemon</t>
  </si>
  <si>
    <t xml:space="preserve">Illustrated rectangular can; bold sardine graphic; clean serif text; lemon yellow accent stripe</t>
  </si>
  <si>
    <t xml:space="preserve">A Banca de Sardinha – Sardines in Olive Oil with Truffle</t>
  </si>
  <si>
    <t xml:space="preserve">Truffle aroma</t>
  </si>
  <si>
    <t xml:space="preserve">Same heritage label format; dark truffle-brown tone; premium illustrated can</t>
  </si>
  <si>
    <t xml:space="preserve">A Banca de Sardinha – Sardines Skinless &amp; Boneless with Tomato</t>
  </si>
  <si>
    <t xml:space="preserve">Skinless &amp; boneless, in tomato sauce</t>
  </si>
  <si>
    <t xml:space="preserve">Tomato</t>
  </si>
  <si>
    <t xml:space="preserve">Navy with red/tomato accent</t>
  </si>
  <si>
    <t xml:space="preserve">Matching series label; tomato-red colour band; clean illustrated sardine; heritage typography</t>
  </si>
  <si>
    <t xml:space="preserve">A Banca de Sardinha – Sardines with Spicy Tomato</t>
  </si>
  <si>
    <t xml:space="preserve">In spicy tomato sauce</t>
  </si>
  <si>
    <t xml:space="preserve">Spicy tomato</t>
  </si>
  <si>
    <t xml:space="preserve">Navy with red &amp; chilli accent</t>
  </si>
  <si>
    <t xml:space="preserve">Series-consistent illustrated label; chilli pepper graphic detail; rich red tones</t>
  </si>
  <si>
    <t xml:space="preserve">A Branca de Sardinha – Skinless &amp; Boneless Sardines</t>
  </si>
  <si>
    <t xml:space="preserve">Skinless &amp; boneless, in olive oil</t>
  </si>
  <si>
    <t xml:space="preserve">Plain</t>
  </si>
  <si>
    <t xml:space="preserve">White &amp; navy with gold trim</t>
  </si>
  <si>
    <t xml:space="preserve">Clean 'white label' variant of the series; minimal illustration; premium skinless positioning</t>
  </si>
  <si>
    <t xml:space="preserve">Anchovies M.A. Revilla – Butter Tin 50g</t>
  </si>
  <si>
    <t xml:space="preserve">M.A. Revilla</t>
  </si>
  <si>
    <t xml:space="preserve">Spain</t>
  </si>
  <si>
    <t xml:space="preserve">Anchovies</t>
  </si>
  <si>
    <t xml:space="preserve">Gold &amp; white on black/dark background</t>
  </si>
  <si>
    <t xml:space="preserve">Oval butter-tin format; gold embossed lettering; sparse, classic typography; no illustration; timeless artisan look</t>
  </si>
  <si>
    <t xml:space="preserve">Cambados – Atlantic Salmon in Olive Oil</t>
  </si>
  <si>
    <t xml:space="preserve">Cambados</t>
  </si>
  <si>
    <t xml:space="preserve">Salmon</t>
  </si>
  <si>
    <t xml:space="preserve">Blue, white, orange-red net graphic</t>
  </si>
  <si>
    <t xml:space="preserve">Distinctive Galician net wrapping the can; bold aquatic graphic; bright seafood-market energy; bilingual text</t>
  </si>
  <si>
    <t xml:space="preserve">Cambados – Mackerel Fillets in Olive Oil</t>
  </si>
  <si>
    <t xml:space="preserve">Mackerel</t>
  </si>
  <si>
    <t xml:space="preserve">Same iconic net can format; mackerel illustration inset; strong product photography overlay</t>
  </si>
  <si>
    <t xml:space="preserve">Cambados – Small Sardines in Tomato Sauce</t>
  </si>
  <si>
    <t xml:space="preserve">In tomato sauce</t>
  </si>
  <si>
    <t xml:space="preserve">Red, white, blue net graphic</t>
  </si>
  <si>
    <t xml:space="preserve">Net-label series; tomato-red dominant; clean bold text; classic Galician conserva branding</t>
  </si>
  <si>
    <t xml:space="preserve">Cambados – Tuna Belly in Olive Oil with Piquillo Peppers</t>
  </si>
  <si>
    <t xml:space="preserve">Tuna</t>
  </si>
  <si>
    <t xml:space="preserve">Piquillo peppers</t>
  </si>
  <si>
    <t xml:space="preserve">Blue, red, white net graphic</t>
  </si>
  <si>
    <t xml:space="preserve">Net-wrapped can; vibrant red pepper illustration; premium variant within series</t>
  </si>
  <si>
    <t xml:space="preserve">Cambados – Yellowfin Tuna Loins in Olive Oil</t>
  </si>
  <si>
    <t xml:space="preserve">Blue, white, gold net graphic</t>
  </si>
  <si>
    <t xml:space="preserve">Net-label; elongated can for loins; gold highlights for premium positioning</t>
  </si>
  <si>
    <t xml:space="preserve">Cocagne – Skinless &amp; Boneless Sardines in Olive Oil</t>
  </si>
  <si>
    <t xml:space="preserve">Cocagne</t>
  </si>
  <si>
    <t xml:space="preserve">France</t>
  </si>
  <si>
    <t xml:space="preserve">Soft white/cream with muted teal or sage green</t>
  </si>
  <si>
    <t xml:space="preserve">Understated French aesthetic; clean sans-serif text; soft watercolour-style fish illustration; no clutter</t>
  </si>
  <si>
    <t xml:space="preserve">Cocagne – Wild Sardines in Organic EVOO</t>
  </si>
  <si>
    <t xml:space="preserve">In organic extra virgin olive oil</t>
  </si>
  <si>
    <t xml:space="preserve">Organic</t>
  </si>
  <si>
    <t xml:space="preserve">Soft white/cream with muted olive green</t>
  </si>
  <si>
    <t xml:space="preserve">Delicate botanical illustration style; organic emphasis; very clean typography; nature-forward design</t>
  </si>
  <si>
    <t xml:space="preserve">Conservas Luliña – Light Tuna Belly in Olive Oil</t>
  </si>
  <si>
    <t xml:space="preserve">Luliña</t>
  </si>
  <si>
    <t xml:space="preserve">Deep blue &amp; gold on white</t>
  </si>
  <si>
    <t xml:space="preserve">Elegant tall can; royal blue label with gold script logotype; fine-dining aesthetic; minimal fish illustration</t>
  </si>
  <si>
    <t xml:space="preserve">La Curiosa – Cantabrian Anchovies 50g</t>
  </si>
  <si>
    <t xml:space="preserve">La Curiosa</t>
  </si>
  <si>
    <t xml:space="preserve">Warm cream &amp; earthy terracotta / ochre</t>
  </si>
  <si>
    <t xml:space="preserve">Rounded retro illustration of fish; bold serif font; warm southern-European palette; playful yet artisan</t>
  </si>
  <si>
    <t xml:space="preserve">La Curiosa – Mackerel Fillets with Curry &amp; Chili</t>
  </si>
  <si>
    <t xml:space="preserve">Curry &amp; chili</t>
  </si>
  <si>
    <t xml:space="preserve">Cream &amp; warm yellow-gold with spice accents</t>
  </si>
  <si>
    <t xml:space="preserve">Same retro series label; spice-warmth colour cues; illustrated mackerel; handcrafted feel</t>
  </si>
  <si>
    <t xml:space="preserve">La Curiosa – Provenzal Mackerel Fillets 120g</t>
  </si>
  <si>
    <t xml:space="preserve">Provençal herbs</t>
  </si>
  <si>
    <t xml:space="preserve">Cream, herb green, warm ochre</t>
  </si>
  <si>
    <t xml:space="preserve">Retro label; herbal green accent; clean laid-out illustration; consistent series design</t>
  </si>
  <si>
    <t xml:space="preserve">La Curiosa – Sardines in Olive Oil 115g</t>
  </si>
  <si>
    <t xml:space="preserve">Warm cream &amp; deep teal/navy</t>
  </si>
  <si>
    <t xml:space="preserve">Classic sardine illustration centred on label; terracotta font headers; clean horizontal layout</t>
  </si>
  <si>
    <t xml:space="preserve">La Curiosa – Sardines with Lemon 112g</t>
  </si>
  <si>
    <t xml:space="preserve">Cream &amp; lemon yellow with teal</t>
  </si>
  <si>
    <t xml:space="preserve">Bright citrus colour accent on retro format; sardine + lemon slice illustration</t>
  </si>
  <si>
    <t xml:space="preserve">La Curiosa – Spicy Sardines 120g</t>
  </si>
  <si>
    <t xml:space="preserve">Spicy</t>
  </si>
  <si>
    <t xml:space="preserve">Cream &amp; deep red/chilli</t>
  </si>
  <si>
    <t xml:space="preserve">Red hot-pepper accent on retro series label; bold flavour indicator</t>
  </si>
  <si>
    <t xml:space="preserve">La Curiosa – Tuna Belly (Ventresca) with Curry 120g</t>
  </si>
  <si>
    <t xml:space="preserve">Curry</t>
  </si>
  <si>
    <t xml:space="preserve">Cream &amp; turmeric yellow-gold</t>
  </si>
  <si>
    <t xml:space="preserve">Premium ventresca positioning within retro series; rich gold tone communicates quality</t>
  </si>
  <si>
    <t xml:space="preserve">La Curiosa – Tuna Belly (Ventresca) with Pesto 115g</t>
  </si>
  <si>
    <t xml:space="preserve">Pesto</t>
  </si>
  <si>
    <t xml:space="preserve">Cream &amp; basil green</t>
  </si>
  <si>
    <t xml:space="preserve">Vibrant herb-green accent; retro pesto illustration detail; elegant among the series</t>
  </si>
  <si>
    <t xml:space="preserve">La Curiosa – Small Sardines in Olive Oil with Padron Pepper</t>
  </si>
  <si>
    <t xml:space="preserve">Padron pepper</t>
  </si>
  <si>
    <t xml:space="preserve">Cream, deep green, warm ochre</t>
  </si>
  <si>
    <t xml:space="preserve">Padron pepper graphic addition to retro format; earthy green; Galician produce reference</t>
  </si>
  <si>
    <t xml:space="preserve">Los Peperetes – Hot Small Sardines in Olive Oil</t>
  </si>
  <si>
    <t xml:space="preserve">Los Peperetes</t>
  </si>
  <si>
    <t xml:space="preserve">Hot chilli</t>
  </si>
  <si>
    <t xml:space="preserve">Deep forest green &amp; gold on black</t>
  </si>
  <si>
    <t xml:space="preserve">Matte dark can with gold embossed brand name; minimal text; no illustration; premium fine-dining positioning; understated luxury</t>
  </si>
  <si>
    <t xml:space="preserve">Los Peperetes – Sardine Fillets in Olive Oil 120g</t>
  </si>
  <si>
    <t xml:space="preserve">Same dark premium series; slim fillet cut; elegant and restrained label design</t>
  </si>
  <si>
    <t xml:space="preserve">Los Peperetes – Small Sardines in Olive Oil</t>
  </si>
  <si>
    <t xml:space="preserve">Dark matte label; gold lettering only; no imagery; ultra-premium artisan presentation</t>
  </si>
  <si>
    <t xml:space="preserve">Los Peperetes – Tuna Belly 120g</t>
  </si>
  <si>
    <t xml:space="preserve">Same luxury dark series; gold 'ventresca' designation; top-tier gourmet positioning</t>
  </si>
  <si>
    <t xml:space="preserve">Los Peperetes – Tuna Belly in Butter 120g</t>
  </si>
  <si>
    <t xml:space="preserve">In butter</t>
  </si>
  <si>
    <t xml:space="preserve">Butter variant; same premium matte-black design; gold text; rarest and most expensive in series</t>
  </si>
  <si>
    <t xml:space="preserve">Minerva – Sardine Paté 65g</t>
  </si>
  <si>
    <t xml:space="preserve">Minerva</t>
  </si>
  <si>
    <t xml:space="preserve">Paté</t>
  </si>
  <si>
    <t xml:space="preserve">Red, white, blue on cream</t>
  </si>
  <si>
    <t xml:space="preserve">Traditional rounded can; bold MINERVA wordmark; clean flag-colour palette; no fuss retro graphics; approachable</t>
  </si>
  <si>
    <t xml:space="preserve">Nuri – Extra Spiced Sardines in Olive Oil</t>
  </si>
  <si>
    <t xml:space="preserve">Nuri</t>
  </si>
  <si>
    <t xml:space="preserve">Extra spiced</t>
  </si>
  <si>
    <t xml:space="preserve">Metallic gold, black, vivid colour-coded bands</t>
  </si>
  <si>
    <t xml:space="preserve">Iconic key-opening sardine tin; bold art deco label; colour band identifies flavour; fish scale texture graphics; gold foil lettering</t>
  </si>
  <si>
    <t xml:space="preserve">Nuri – Mackerel in Olive Oil</t>
  </si>
  <si>
    <t xml:space="preserve">Metallic silver-blue &amp; gold with black</t>
  </si>
  <si>
    <t xml:space="preserve">Same distinctive key-open tin; art deco fish illustration; silver-blue mackerel colour band</t>
  </si>
  <si>
    <t xml:space="preserve">Nuri – Sardines in Olive Oil</t>
  </si>
  <si>
    <t xml:space="preserve">Metallic gold &amp; deep blue-black</t>
  </si>
  <si>
    <t xml:space="preserve">Classic Nuri key-open tin; deep ocean blue label; gold sardine silhouette; iconic worldwide</t>
  </si>
  <si>
    <t xml:space="preserve">Nuri – Sardines in Tomato Sauce</t>
  </si>
  <si>
    <t xml:space="preserve">Metallic gold, tomato red &amp; black</t>
  </si>
  <si>
    <t xml:space="preserve">Red tomato-sauce colour band on classic Nuri tin; art deco illustration; instantly recognisable</t>
  </si>
  <si>
    <t xml:space="preserve">Nuri – Sardines Lemon</t>
  </si>
  <si>
    <t xml:space="preserve">Gold, lemon yellow &amp; black</t>
  </si>
  <si>
    <t xml:space="preserve">Yellow citrus band; key-open tin; art deco fish graphics; part of iconic Nuri range</t>
  </si>
  <si>
    <t xml:space="preserve">Nuri – Spiced Mackerel in Olive Oil 125g</t>
  </si>
  <si>
    <t xml:space="preserve">Spiced</t>
  </si>
  <si>
    <t xml:space="preserve">Metallic silver &amp; amber-gold on black</t>
  </si>
  <si>
    <t xml:space="preserve">Key-open tin; spiced variant amber accent; art deco format; distinctive texture graphics</t>
  </si>
  <si>
    <t xml:space="preserve">Nuri – Spiced Sardines in Olive Oil</t>
  </si>
  <si>
    <t xml:space="preserve">Gold &amp; deep navy with spice amber</t>
  </si>
  <si>
    <t xml:space="preserve">Spice-accent colour cue on classic art deco Nuri tin; same iconic key format</t>
  </si>
  <si>
    <t xml:space="preserve">Nuri – Spicy Sardines in Tomato Sauce</t>
  </si>
  <si>
    <t xml:space="preserve">Metallic gold, red, black</t>
  </si>
  <si>
    <t xml:space="preserve">Double-warm palette (tomato + spice); bold colour bands; art deco Nuri design</t>
  </si>
  <si>
    <t xml:space="preserve">Pujado Solano – Cantabrian Anchovies 50g</t>
  </si>
  <si>
    <t xml:space="preserve">Pujado Solano</t>
  </si>
  <si>
    <t xml:space="preserve">Cream, burgundy &amp; gold</t>
  </si>
  <si>
    <t xml:space="preserve">Oval flat tin; burgundy brand stripe; serif logotype; no illustration; elegant old-world artisan presentation</t>
  </si>
  <si>
    <t xml:space="preserve">Ramón Peña – Sardinas in Olive Oil</t>
  </si>
  <si>
    <t xml:space="preserve">Ramón Peña</t>
  </si>
  <si>
    <t xml:space="preserve">Silver, white &amp; crimson red</t>
  </si>
  <si>
    <t xml:space="preserve">Silver oval can; bold red brand stripe; clean serif typeface; no illustration; refined classic conserva look</t>
  </si>
  <si>
    <t xml:space="preserve">Real Conservera – Costera Albacore Tuna Loins in Olive Oil 320g</t>
  </si>
  <si>
    <t xml:space="preserve">Real Conservera Española</t>
  </si>
  <si>
    <t xml:space="preserve">Ivory, royal blue &amp; red crest seal</t>
  </si>
  <si>
    <t xml:space="preserve">Rectangular tall tin; royal-blue heraldic crest label; gold foil stamp; museum-quality look; collector aesthetic</t>
  </si>
  <si>
    <t xml:space="preserve">Real Conservera – Small Sardines in Olive Oil</t>
  </si>
  <si>
    <t xml:space="preserve">Same heraldic series; oval sardine can; crest emblem front-and-centre; premium conserva positioning</t>
  </si>
  <si>
    <t xml:space="preserve">Real Conservera – Small Sardines in Olive Oil with Lemon</t>
  </si>
  <si>
    <t xml:space="preserve">Ivory, royal blue, lemon yellow accent</t>
  </si>
  <si>
    <t xml:space="preserve">Lemon variant in heraldic series; yellow accent band beneath crest; same elevated presentation</t>
  </si>
  <si>
    <t xml:space="preserve">Santa Catarina – Gourmet Tuna Fillets with Fennel &amp; Olive Oil</t>
  </si>
  <si>
    <t xml:space="preserve">Santa Catarina</t>
  </si>
  <si>
    <t xml:space="preserve">Fennel</t>
  </si>
  <si>
    <t xml:space="preserve">Soft cream with botanical green &amp; white</t>
  </si>
  <si>
    <t xml:space="preserve">Delicate botanical label; hand-drawn fennel illustration; minimal serif text; artisan French-Portuguese crossover aesthetic</t>
  </si>
  <si>
    <t xml:space="preserve">Sardines in Spicy Sunflower Oil by Bogar</t>
  </si>
  <si>
    <t xml:space="preserve">Bogar</t>
  </si>
  <si>
    <t xml:space="preserve">In sunflower oil</t>
  </si>
  <si>
    <t xml:space="preserve">Spicy chilli</t>
  </si>
  <si>
    <t xml:space="preserve">Red, yellow, white on plain can</t>
  </si>
  <si>
    <t xml:space="preserve">Simple commercial-style can; bold red and yellow label; primary-colour energy; no illustration; value-tier positioning</t>
  </si>
  <si>
    <t xml:space="preserve">Sardinha – In Marinade (Escabeche)</t>
  </si>
  <si>
    <t xml:space="preserve">Sardinha</t>
  </si>
  <si>
    <t xml:space="preserve">In vinegar/herb marinade</t>
  </si>
  <si>
    <t xml:space="preserve">Escabeche marinade</t>
  </si>
  <si>
    <t xml:space="preserve">Cobalt blue, white &amp; lemon yellow</t>
  </si>
  <si>
    <t xml:space="preserve">Bold cobalt-blue rectangular can; large illustrated sardine in vivid colour; modern sans-serif; eye-catching; contemporary</t>
  </si>
  <si>
    <t xml:space="preserve">Sardinha – Lightly Smoked in Spicy Olive Oil</t>
  </si>
  <si>
    <t xml:space="preserve">Smoked, in spicy olive oil</t>
  </si>
  <si>
    <t xml:space="preserve">Smoked + spicy</t>
  </si>
  <si>
    <t xml:space="preserve">Cobalt blue, grey smoke tones &amp; red</t>
  </si>
  <si>
    <t xml:space="preserve">Modern blue can; smoke-effect graphic overlay; chilli red accent; bold contemporary design</t>
  </si>
  <si>
    <t xml:space="preserve">Sardinha – Petinga Small Sardines in Olive Oil</t>
  </si>
  <si>
    <t xml:space="preserve">Plain (small variety)</t>
  </si>
  <si>
    <t xml:space="preserve">Cobalt blue, white &amp; aqua</t>
  </si>
  <si>
    <t xml:space="preserve">Same modern blue series; petinga variant label; clean illustrated small sardines; fresh nautical feel</t>
  </si>
  <si>
    <t xml:space="preserve">Sardinha – Sardine in Olive Oil with Smoke Aroma</t>
  </si>
  <si>
    <t xml:space="preserve">Smoke aroma</t>
  </si>
  <si>
    <t xml:space="preserve">Cobalt blue, charcoal smoke &amp; white</t>
  </si>
  <si>
    <t xml:space="preserve">Modern blue can; subtle smoke graphic; clean bold sans-serif; flavour-cue illustration</t>
  </si>
  <si>
    <t xml:space="preserve">Sardinha – Sardine in Spicy Olive Oil &amp; Chili</t>
  </si>
  <si>
    <t xml:space="preserve">In spicy olive oil</t>
  </si>
  <si>
    <t xml:space="preserve">Chili</t>
  </si>
  <si>
    <t xml:space="preserve">Cobalt blue, fiery red &amp; white</t>
  </si>
  <si>
    <t xml:space="preserve">Chilli-red dominant accent on modern blue series can; dynamic illustrated label</t>
  </si>
  <si>
    <t xml:space="preserve">Sardinha – Sardines in Curry</t>
  </si>
  <si>
    <t xml:space="preserve">Cobalt blue, turmeric gold &amp; white</t>
  </si>
  <si>
    <t xml:space="preserve">Gold curry-colour band on modern blue can; spice illustration; modern contemporary look</t>
  </si>
  <si>
    <t xml:space="preserve">Sardinha – Sardines in Olive Oil</t>
  </si>
  <si>
    <t xml:space="preserve">Cobalt blue &amp; white</t>
  </si>
  <si>
    <t xml:space="preserve">Signature Sardinha blue; crisp white sardine illustration; very clean modern sans-serif layout</t>
  </si>
  <si>
    <t xml:space="preserve">Sardinha – Sardines in Organic Tomato &amp; Organic EVOO</t>
  </si>
  <si>
    <t xml:space="preserve">In organic tomato &amp; EVOO</t>
  </si>
  <si>
    <t xml:space="preserve">Organic tomato</t>
  </si>
  <si>
    <t xml:space="preserve">Cobalt blue, tomato red &amp; white</t>
  </si>
  <si>
    <t xml:space="preserve">Red organic tomato accent on blue can; organic positioning; modern illustrated can</t>
  </si>
  <si>
    <t xml:space="preserve">Sardinha – Sardines in Spicy Olive Oil with Pickles</t>
  </si>
  <si>
    <t xml:space="preserve">Pickles</t>
  </si>
  <si>
    <t xml:space="preserve">Cobalt blue, pickle green &amp; red</t>
  </si>
  <si>
    <t xml:space="preserve">Green pickle accent on modern blue series; fun modern illustration; approachable</t>
  </si>
  <si>
    <t xml:space="preserve">Sardinha – Skinless &amp; Boneless Fillets with Lemon</t>
  </si>
  <si>
    <t xml:space="preserve">Lemon yellow stripe on blue can; premium skinless variant; modern clean label</t>
  </si>
  <si>
    <t xml:space="preserve">Sardinha – Skinless &amp; Boneless in Spicy Olive Oil</t>
  </si>
  <si>
    <t xml:space="preserve">Skinless &amp; boneless, in spicy olive oil</t>
  </si>
  <si>
    <t xml:space="preserve">Cobalt blue, orange-red &amp; white</t>
  </si>
  <si>
    <t xml:space="preserve">Spicy orange-red accent; premium skinless on modern blue series can</t>
  </si>
  <si>
    <t xml:space="preserve">Sardinha – Skinless &amp; Pimple-Free with Smoke Aroma</t>
  </si>
  <si>
    <t xml:space="preserve">Cobalt blue, smoke charcoal &amp; white</t>
  </si>
  <si>
    <t xml:space="preserve">Smoke-cue charcoal accents; premium skinless on modern series; contemporary design</t>
  </si>
  <si>
    <t xml:space="preserve">Avg Price per Gram (CAD$/g)</t>
  </si>
  <si>
    <t xml:space="preserve">Traditional Spanish Conservas</t>
  </si>
  <si>
    <t xml:space="preserve">Artisan Galician Luxury</t>
  </si>
  <si>
    <t xml:space="preserve">Classic Portuguese Utility</t>
  </si>
  <si>
    <t xml:space="preserve">Heritage Spanish Crest</t>
  </si>
  <si>
    <t xml:space="preserve">Modern Spanish Premium</t>
  </si>
  <si>
    <t xml:space="preserve">Retro Spanish Pop</t>
  </si>
  <si>
    <t xml:space="preserve">Nautical Net Label</t>
  </si>
  <si>
    <t xml:space="preserve">French Minimalist</t>
  </si>
  <si>
    <t xml:space="preserve">Bright Modern Illustrated</t>
  </si>
  <si>
    <t xml:space="preserve">Modern Portuguese Heritage</t>
  </si>
  <si>
    <t xml:space="preserve">Iconic Art Deco Tins</t>
  </si>
  <si>
    <t xml:space="preserve">Classic Utility / Value</t>
  </si>
  <si>
    <t xml:space="preserve">Chart: Average Price per Gram (CAD$/g) by Label Aesthetic Style</t>
  </si>
  <si>
    <t xml:space="preserve">Notes &amp; Methodology</t>
  </si>
  <si>
    <t xml:space="preserve">Methodology</t>
  </si>
  <si>
    <t xml:space="preserve">Total weight of tin contents as listed on product pages. For Sardinha brand, the 154–166g total weight represents the whole tin including oil; fish content is ~70% per ingredients list (~108–116g). Weights used are total can weights where explicit, or fish-content weights where only that was stated.</t>
  </si>
  <si>
    <t xml:space="preserve">Price per Gram</t>
  </si>
  <si>
    <t xml:space="preserve">Calculated as Price (CAD$) ÷ Net Weight (g). This reflects all-in cost per gram of product, not per gram of fish only.</t>
  </si>
  <si>
    <t xml:space="preserve">A Banca de Sardinha 3-Pack</t>
  </si>
  <si>
    <t xml:space="preserve">Weight estimated as 3 × ~115g = 345g. Individual tins are ~125g each.</t>
  </si>
  <si>
    <t xml:space="preserve">Bogar Sardines</t>
  </si>
  <si>
    <t xml:space="preserve">No weight stated on product page. Standard Bogar sardine tin is ~90g; used as estimate.</t>
  </si>
  <si>
    <t xml:space="preserve">Conservas Luliña Tuna Belly</t>
  </si>
  <si>
    <t xml:space="preserve">No weight on product page; standard format for this product line is ~120g.</t>
  </si>
  <si>
    <t xml:space="preserve">Ramón Peña Sardinas</t>
  </si>
  <si>
    <t xml:space="preserve">No weight on product page; Ramón Peña standard sardine tin is ~120g.</t>
  </si>
  <si>
    <t xml:space="preserve">Sardinha Sardines in Olive Oil</t>
  </si>
  <si>
    <t xml:space="preserve">Product page notes 'distinctive blue can' but no explicit weight; using 108g consistent with rest of Sardinha range.</t>
  </si>
  <si>
    <t xml:space="preserve">Classified by the author based on the visual thumbnail images on tinmonger.ca and known brand aesthetics. 7 styles identified: Modern Portuguese Heritage, Nautical Net Label, French Minimalist, Artisan Galician Luxury, Retro Spanish Pop, Iconic Art Deco Tins, Traditional Spanish Conservas, Classic Portuguese Utility, Bright Modern Illustrated, Heritage Spanish Crest, Classic Utility / Value.</t>
  </si>
  <si>
    <t xml:space="preserve">Excluded Products</t>
  </si>
  <si>
    <t xml:space="preserve">The Sardine Society ($99 gift set) and Sardines Tea Towel ($29 non-food) are excluded as price-per-gram analysis is not applicable.</t>
  </si>
  <si>
    <t xml:space="preserve">Currency</t>
  </si>
  <si>
    <t xml:space="preserve">All prices in Canadian Dollars (CAD$) as listed on tinmonger.ca at time of scraping (March 2026).</t>
  </si>
</sst>
</file>

<file path=xl/styles.xml><?xml version="1.0" encoding="utf-8"?>
<styleSheet xmlns="http://schemas.openxmlformats.org/spreadsheetml/2006/main">
  <numFmts count="4">
    <numFmt numFmtId="164" formatCode="General"/>
    <numFmt numFmtId="165" formatCode="\$#,##0.00"/>
    <numFmt numFmtId="166" formatCode="\$#,##0.000"/>
    <numFmt numFmtId="167" formatCode="\$#,##0.00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name val="Arial"/>
      <family val="0"/>
      <charset val="1"/>
    </font>
  </fonts>
  <fills count="6">
    <fill>
      <patternFill patternType="none"/>
    </fill>
    <fill>
      <patternFill patternType="gray125"/>
    </fill>
    <fill>
      <patternFill patternType="solid">
        <fgColor rgb="FFEEF2FF"/>
        <bgColor rgb="FFF9F9F9"/>
      </patternFill>
    </fill>
    <fill>
      <patternFill patternType="solid">
        <fgColor rgb="FF1F3864"/>
        <bgColor rgb="FF333333"/>
      </patternFill>
    </fill>
    <fill>
      <patternFill patternType="solid">
        <fgColor rgb="FFD9E1F2"/>
        <bgColor rgb="FFD9D9D9"/>
      </patternFill>
    </fill>
    <fill>
      <patternFill patternType="solid">
        <fgColor rgb="FFFFFFFF"/>
        <bgColor rgb="FFF9F9F9"/>
      </patternFill>
    </fill>
  </fills>
  <borders count="2">
    <border diagonalUp="false" diagonalDown="false">
      <left/>
      <right/>
      <top/>
      <bottom/>
      <diagonal/>
    </border>
    <border diagonalUp="false" diagonalDown="false">
      <left style="thin">
        <color rgb="FFB0B8C8"/>
      </left>
      <right style="thin">
        <color rgb="FFB0B8C8"/>
      </right>
      <top style="thin">
        <color rgb="FFB0B8C8"/>
      </top>
      <bottom style="thin">
        <color rgb="FFB0B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6"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6" fontId="6"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8C8"/>
      <rgbColor rgb="FF878787"/>
      <rgbColor rgb="FF9999FF"/>
      <rgbColor rgb="FF993366"/>
      <rgbColor rgb="FFF9F9F9"/>
      <rgbColor rgb="FFEEF2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Price per Gram by Label Aesthetic Style</a:t>
            </a:r>
          </a:p>
        </c:rich>
      </c:tx>
      <c:overlay val="0"/>
      <c:spPr>
        <a:noFill/>
        <a:ln w="0">
          <a:noFill/>
        </a:ln>
      </c:spPr>
    </c:title>
    <c:autoTitleDeleted val="0"/>
    <c:plotArea>
      <c:barChart>
        <c:barDir val="bar"/>
        <c:grouping val="clustered"/>
        <c:varyColors val="0"/>
        <c:ser>
          <c:idx val="0"/>
          <c:order val="0"/>
          <c:tx>
            <c:strRef>
              <c:f>'Chart Data'!B1</c:f>
              <c:strCache>
                <c:ptCount val="1"/>
                <c:pt idx="0">
                  <c:v>Avg Price per Gram (CAD$/g)</c:v>
                </c:pt>
              </c:strCache>
            </c:strRef>
          </c:tx>
          <c:spPr>
            <a:solidFill>
              <a:srgbClr val="1f386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Data'!$A$2:$A$13</c:f>
              <c:strCache>
                <c:ptCount val="12"/>
                <c:pt idx="0">
                  <c:v>Traditional Spanish Conservas</c:v>
                </c:pt>
                <c:pt idx="1">
                  <c:v>Artisan Galician Luxury</c:v>
                </c:pt>
                <c:pt idx="2">
                  <c:v>Classic Portuguese Utility</c:v>
                </c:pt>
                <c:pt idx="3">
                  <c:v>Heritage Spanish Crest</c:v>
                </c:pt>
                <c:pt idx="4">
                  <c:v>Modern Spanish Premium</c:v>
                </c:pt>
                <c:pt idx="5">
                  <c:v>Retro Spanish Pop</c:v>
                </c:pt>
                <c:pt idx="6">
                  <c:v>Nautical Net Label</c:v>
                </c:pt>
                <c:pt idx="7">
                  <c:v>French Minimalist</c:v>
                </c:pt>
                <c:pt idx="8">
                  <c:v>Bright Modern Illustrated</c:v>
                </c:pt>
                <c:pt idx="9">
                  <c:v>Modern Portuguese Heritage</c:v>
                </c:pt>
                <c:pt idx="10">
                  <c:v>Iconic Art Deco Tins</c:v>
                </c:pt>
                <c:pt idx="11">
                  <c:v>Classic Utility / Value</c:v>
                </c:pt>
              </c:strCache>
            </c:strRef>
          </c:cat>
          <c:val>
            <c:numRef>
              <c:f>'Chart Data'!$B$2:$B$13</c:f>
              <c:numCache>
                <c:formatCode>\$#,##0.0000</c:formatCode>
                <c:ptCount val="12"/>
                <c:pt idx="0">
                  <c:v>0.3543</c:v>
                </c:pt>
                <c:pt idx="1">
                  <c:v>0.31</c:v>
                </c:pt>
                <c:pt idx="2">
                  <c:v>0.2152</c:v>
                </c:pt>
                <c:pt idx="3">
                  <c:v>0.2097</c:v>
                </c:pt>
                <c:pt idx="4">
                  <c:v>0.1999</c:v>
                </c:pt>
                <c:pt idx="5">
                  <c:v>0.1886</c:v>
                </c:pt>
                <c:pt idx="6">
                  <c:v>0.1855</c:v>
                </c:pt>
                <c:pt idx="7">
                  <c:v>0.1599</c:v>
                </c:pt>
                <c:pt idx="8">
                  <c:v>0.1415</c:v>
                </c:pt>
                <c:pt idx="9">
                  <c:v>0.1292</c:v>
                </c:pt>
                <c:pt idx="10">
                  <c:v>0.1289</c:v>
                </c:pt>
                <c:pt idx="11">
                  <c:v>0.0999</c:v>
                </c:pt>
              </c:numCache>
            </c:numRef>
          </c:val>
        </c:ser>
        <c:gapWidth val="150"/>
        <c:overlap val="0"/>
        <c:axId val="64886076"/>
        <c:axId val="19183886"/>
      </c:barChart>
      <c:catAx>
        <c:axId val="64886076"/>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Price per Gram (CAD$/g)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83886"/>
        <c:crosses val="autoZero"/>
        <c:auto val="1"/>
        <c:lblAlgn val="ctr"/>
        <c:lblOffset val="100"/>
        <c:noMultiLvlLbl val="0"/>
      </c:catAx>
      <c:valAx>
        <c:axId val="19183886"/>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Label Aesthetic Style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8860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190440</xdr:rowOff>
    </xdr:from>
    <xdr:to>
      <xdr:col>15</xdr:col>
      <xdr:colOff>187200</xdr:colOff>
      <xdr:row>34</xdr:row>
      <xdr:rowOff>163080</xdr:rowOff>
    </xdr:to>
    <xdr:graphicFrame>
      <xdr:nvGraphicFramePr>
        <xdr:cNvPr id="0" name="Chart 1"/>
        <xdr:cNvGraphicFramePr/>
      </xdr:nvGraphicFramePr>
      <xdr:xfrm>
        <a:off x="0" y="190440"/>
        <a:ext cx="9359640" cy="64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12"/>
    <col collapsed="false" customWidth="true" hidden="false" outlineLevel="0" max="4" min="4" style="0" width="14"/>
    <col collapsed="false" customWidth="true" hidden="false" outlineLevel="0" max="5" min="5" style="0" width="30"/>
    <col collapsed="false" customWidth="true" hidden="false" outlineLevel="0" max="6" min="6" style="0" width="22"/>
    <col collapsed="false" customWidth="true" hidden="false" outlineLevel="0" max="7" min="7" style="0" width="14"/>
    <col collapsed="false" customWidth="true" hidden="false" outlineLevel="0" max="8" min="8" style="0" width="13"/>
    <col collapsed="false" customWidth="true" hidden="false" outlineLevel="0" max="9" min="9" style="0" width="16"/>
    <col collapsed="false" customWidth="true" hidden="false" outlineLevel="0" max="10" min="10" style="0" width="28"/>
    <col collapsed="false" customWidth="true" hidden="false" outlineLevel="0" max="11" min="11" style="0" width="32"/>
    <col collapsed="false" customWidth="true" hidden="false" outlineLevel="0" max="12" min="12" style="0" width="55"/>
  </cols>
  <sheetData>
    <row r="1" customFormat="false" ht="27.75" hidden="false" customHeight="true" outlineLevel="0" collapsed="false">
      <c r="A1" s="1" t="s">
        <v>0</v>
      </c>
      <c r="B1" s="1"/>
      <c r="C1" s="1"/>
      <c r="D1" s="1"/>
      <c r="E1" s="1"/>
      <c r="F1" s="1"/>
      <c r="G1" s="1"/>
      <c r="H1" s="1"/>
      <c r="I1" s="1"/>
      <c r="J1" s="1"/>
      <c r="K1" s="1"/>
      <c r="L1" s="1"/>
    </row>
    <row r="2" customFormat="false" ht="31.5" hidden="false" customHeight="true" outlineLevel="0" collapsed="false">
      <c r="A2" s="2" t="s">
        <v>1</v>
      </c>
      <c r="B2" s="2" t="s">
        <v>2</v>
      </c>
      <c r="C2" s="2" t="s">
        <v>3</v>
      </c>
      <c r="D2" s="2" t="s">
        <v>4</v>
      </c>
      <c r="E2" s="2" t="s">
        <v>5</v>
      </c>
      <c r="F2" s="2" t="s">
        <v>6</v>
      </c>
      <c r="G2" s="2" t="s">
        <v>7</v>
      </c>
      <c r="H2" s="2" t="s">
        <v>8</v>
      </c>
      <c r="I2" s="2" t="s">
        <v>9</v>
      </c>
      <c r="J2" s="2" t="s">
        <v>10</v>
      </c>
      <c r="K2" s="2" t="s">
        <v>11</v>
      </c>
      <c r="L2" s="2" t="s">
        <v>12</v>
      </c>
    </row>
    <row r="3" customFormat="false" ht="32.8" hidden="false" customHeight="false" outlineLevel="0" collapsed="false">
      <c r="A3" s="3" t="s">
        <v>13</v>
      </c>
      <c r="B3" s="3" t="s">
        <v>14</v>
      </c>
      <c r="C3" s="3" t="s">
        <v>15</v>
      </c>
      <c r="D3" s="3" t="s">
        <v>16</v>
      </c>
      <c r="E3" s="3" t="s">
        <v>17</v>
      </c>
      <c r="F3" s="3" t="s">
        <v>18</v>
      </c>
      <c r="G3" s="4" t="n">
        <v>345</v>
      </c>
      <c r="H3" s="5" t="n">
        <v>39.99</v>
      </c>
      <c r="I3" s="6" t="n">
        <f aca="false">H3/G3</f>
        <v>0.115913043478261</v>
      </c>
      <c r="J3" s="3" t="s">
        <v>19</v>
      </c>
      <c r="K3" s="3" t="s">
        <v>20</v>
      </c>
    </row>
    <row r="4" customFormat="false" ht="32.8" hidden="false" customHeight="false" outlineLevel="0" collapsed="false">
      <c r="A4" s="7" t="s">
        <v>21</v>
      </c>
      <c r="B4" s="7" t="s">
        <v>14</v>
      </c>
      <c r="C4" s="7" t="s">
        <v>15</v>
      </c>
      <c r="D4" s="7" t="s">
        <v>16</v>
      </c>
      <c r="E4" s="7" t="s">
        <v>22</v>
      </c>
      <c r="F4" s="7" t="s">
        <v>23</v>
      </c>
      <c r="G4" s="8" t="n">
        <v>125</v>
      </c>
      <c r="H4" s="9" t="n">
        <v>14.99</v>
      </c>
      <c r="I4" s="10" t="n">
        <f aca="false">H4/G4</f>
        <v>0.11992</v>
      </c>
      <c r="J4" s="7" t="s">
        <v>19</v>
      </c>
      <c r="K4" s="7" t="s">
        <v>24</v>
      </c>
    </row>
    <row r="5" customFormat="false" ht="22.35" hidden="false" customHeight="false" outlineLevel="0" collapsed="false">
      <c r="A5" s="3" t="s">
        <v>25</v>
      </c>
      <c r="B5" s="3" t="s">
        <v>14</v>
      </c>
      <c r="C5" s="3" t="s">
        <v>15</v>
      </c>
      <c r="D5" s="3" t="s">
        <v>16</v>
      </c>
      <c r="E5" s="3" t="s">
        <v>22</v>
      </c>
      <c r="F5" s="3" t="s">
        <v>26</v>
      </c>
      <c r="G5" s="4" t="n">
        <v>125</v>
      </c>
      <c r="H5" s="5" t="n">
        <v>16.99</v>
      </c>
      <c r="I5" s="6" t="n">
        <f aca="false">H5/G5</f>
        <v>0.13592</v>
      </c>
      <c r="J5" s="3" t="s">
        <v>19</v>
      </c>
      <c r="K5" s="3" t="s">
        <v>27</v>
      </c>
    </row>
    <row r="6" customFormat="false" ht="32.8" hidden="false" customHeight="false" outlineLevel="0" collapsed="false">
      <c r="A6" s="7" t="s">
        <v>28</v>
      </c>
      <c r="B6" s="7" t="s">
        <v>14</v>
      </c>
      <c r="C6" s="7" t="s">
        <v>15</v>
      </c>
      <c r="D6" s="7" t="s">
        <v>16</v>
      </c>
      <c r="E6" s="7" t="s">
        <v>29</v>
      </c>
      <c r="F6" s="7" t="s">
        <v>30</v>
      </c>
      <c r="G6" s="8" t="n">
        <v>120</v>
      </c>
      <c r="H6" s="9" t="n">
        <v>16.99</v>
      </c>
      <c r="I6" s="10" t="n">
        <f aca="false">H6/G6</f>
        <v>0.141583333333333</v>
      </c>
      <c r="J6" s="7" t="s">
        <v>31</v>
      </c>
      <c r="K6" s="7" t="s">
        <v>32</v>
      </c>
    </row>
    <row r="7" customFormat="false" ht="22.35" hidden="false" customHeight="false" outlineLevel="0" collapsed="false">
      <c r="A7" s="3" t="s">
        <v>33</v>
      </c>
      <c r="B7" s="3" t="s">
        <v>14</v>
      </c>
      <c r="C7" s="3" t="s">
        <v>15</v>
      </c>
      <c r="D7" s="3" t="s">
        <v>16</v>
      </c>
      <c r="E7" s="3" t="s">
        <v>34</v>
      </c>
      <c r="F7" s="3" t="s">
        <v>35</v>
      </c>
      <c r="G7" s="4" t="n">
        <v>125</v>
      </c>
      <c r="H7" s="5" t="n">
        <v>13.99</v>
      </c>
      <c r="I7" s="6" t="n">
        <f aca="false">H7/G7</f>
        <v>0.11192</v>
      </c>
      <c r="J7" s="3" t="s">
        <v>36</v>
      </c>
      <c r="K7" s="3" t="s">
        <v>37</v>
      </c>
    </row>
    <row r="8" customFormat="false" ht="32.8" hidden="false" customHeight="false" outlineLevel="0" collapsed="false">
      <c r="A8" s="7" t="s">
        <v>38</v>
      </c>
      <c r="B8" s="7" t="s">
        <v>14</v>
      </c>
      <c r="C8" s="7" t="s">
        <v>15</v>
      </c>
      <c r="D8" s="7" t="s">
        <v>16</v>
      </c>
      <c r="E8" s="7" t="s">
        <v>39</v>
      </c>
      <c r="F8" s="7" t="s">
        <v>40</v>
      </c>
      <c r="G8" s="8" t="n">
        <v>120</v>
      </c>
      <c r="H8" s="9" t="n">
        <v>17.99</v>
      </c>
      <c r="I8" s="10" t="n">
        <f aca="false">H8/G8</f>
        <v>0.149916666666667</v>
      </c>
      <c r="J8" s="7" t="s">
        <v>41</v>
      </c>
      <c r="K8" s="7" t="s">
        <v>42</v>
      </c>
    </row>
    <row r="9" customFormat="false" ht="32.8" hidden="false" customHeight="false" outlineLevel="0" collapsed="false">
      <c r="A9" s="3" t="s">
        <v>43</v>
      </c>
      <c r="B9" s="3" t="s">
        <v>44</v>
      </c>
      <c r="C9" s="3" t="s">
        <v>45</v>
      </c>
      <c r="D9" s="3" t="s">
        <v>46</v>
      </c>
      <c r="E9" s="3" t="s">
        <v>22</v>
      </c>
      <c r="F9" s="3" t="s">
        <v>40</v>
      </c>
      <c r="G9" s="4" t="n">
        <v>50</v>
      </c>
      <c r="H9" s="5" t="n">
        <v>19.99</v>
      </c>
      <c r="I9" s="6" t="n">
        <f aca="false">H9/G9</f>
        <v>0.3998</v>
      </c>
      <c r="J9" s="3" t="s">
        <v>47</v>
      </c>
      <c r="K9" s="3" t="s">
        <v>48</v>
      </c>
    </row>
    <row r="10" customFormat="false" ht="32.8" hidden="false" customHeight="false" outlineLevel="0" collapsed="false">
      <c r="A10" s="7" t="s">
        <v>49</v>
      </c>
      <c r="B10" s="7" t="s">
        <v>50</v>
      </c>
      <c r="C10" s="7" t="s">
        <v>45</v>
      </c>
      <c r="D10" s="7" t="s">
        <v>51</v>
      </c>
      <c r="E10" s="7" t="s">
        <v>22</v>
      </c>
      <c r="F10" s="7" t="s">
        <v>40</v>
      </c>
      <c r="G10" s="8" t="n">
        <v>111</v>
      </c>
      <c r="H10" s="9" t="n">
        <v>26.99</v>
      </c>
      <c r="I10" s="10" t="n">
        <f aca="false">H10/G10</f>
        <v>0.243153153153153</v>
      </c>
      <c r="J10" s="7" t="s">
        <v>52</v>
      </c>
      <c r="K10" s="7" t="s">
        <v>53</v>
      </c>
    </row>
    <row r="11" customFormat="false" ht="32.8" hidden="false" customHeight="false" outlineLevel="0" collapsed="false">
      <c r="A11" s="3" t="s">
        <v>54</v>
      </c>
      <c r="B11" s="3" t="s">
        <v>50</v>
      </c>
      <c r="C11" s="3" t="s">
        <v>45</v>
      </c>
      <c r="D11" s="3" t="s">
        <v>55</v>
      </c>
      <c r="E11" s="3" t="s">
        <v>22</v>
      </c>
      <c r="F11" s="3" t="s">
        <v>40</v>
      </c>
      <c r="G11" s="4" t="n">
        <v>110</v>
      </c>
      <c r="H11" s="5" t="n">
        <v>16.99</v>
      </c>
      <c r="I11" s="6" t="n">
        <f aca="false">H11/G11</f>
        <v>0.154454545454545</v>
      </c>
      <c r="J11" s="3" t="s">
        <v>52</v>
      </c>
      <c r="K11" s="3" t="s">
        <v>56</v>
      </c>
    </row>
    <row r="12" customFormat="false" ht="32.8" hidden="false" customHeight="false" outlineLevel="0" collapsed="false">
      <c r="A12" s="7" t="s">
        <v>57</v>
      </c>
      <c r="B12" s="7" t="s">
        <v>50</v>
      </c>
      <c r="C12" s="7" t="s">
        <v>45</v>
      </c>
      <c r="D12" s="7" t="s">
        <v>16</v>
      </c>
      <c r="E12" s="7" t="s">
        <v>58</v>
      </c>
      <c r="F12" s="7" t="s">
        <v>30</v>
      </c>
      <c r="G12" s="8" t="n">
        <v>115</v>
      </c>
      <c r="H12" s="9" t="n">
        <v>15.99</v>
      </c>
      <c r="I12" s="10" t="n">
        <f aca="false">H12/G12</f>
        <v>0.13904347826087</v>
      </c>
      <c r="J12" s="7" t="s">
        <v>59</v>
      </c>
      <c r="K12" s="7" t="s">
        <v>60</v>
      </c>
    </row>
    <row r="13" customFormat="false" ht="22.35" hidden="false" customHeight="false" outlineLevel="0" collapsed="false">
      <c r="A13" s="3" t="s">
        <v>61</v>
      </c>
      <c r="B13" s="3" t="s">
        <v>50</v>
      </c>
      <c r="C13" s="3" t="s">
        <v>45</v>
      </c>
      <c r="D13" s="3" t="s">
        <v>62</v>
      </c>
      <c r="E13" s="3" t="s">
        <v>22</v>
      </c>
      <c r="F13" s="3" t="s">
        <v>63</v>
      </c>
      <c r="G13" s="4" t="n">
        <v>111</v>
      </c>
      <c r="H13" s="5" t="n">
        <v>25.99</v>
      </c>
      <c r="I13" s="6" t="n">
        <f aca="false">H13/G13</f>
        <v>0.234144144144144</v>
      </c>
      <c r="J13" s="3" t="s">
        <v>64</v>
      </c>
      <c r="K13" s="3" t="s">
        <v>65</v>
      </c>
    </row>
    <row r="14" customFormat="false" ht="22.35" hidden="false" customHeight="false" outlineLevel="0" collapsed="false">
      <c r="A14" s="7" t="s">
        <v>66</v>
      </c>
      <c r="B14" s="7" t="s">
        <v>50</v>
      </c>
      <c r="C14" s="7" t="s">
        <v>45</v>
      </c>
      <c r="D14" s="7" t="s">
        <v>62</v>
      </c>
      <c r="E14" s="7" t="s">
        <v>22</v>
      </c>
      <c r="F14" s="7" t="s">
        <v>40</v>
      </c>
      <c r="G14" s="8" t="n">
        <v>185</v>
      </c>
      <c r="H14" s="9" t="n">
        <v>28.99</v>
      </c>
      <c r="I14" s="10" t="n">
        <f aca="false">H14/G14</f>
        <v>0.156702702702703</v>
      </c>
      <c r="J14" s="7" t="s">
        <v>67</v>
      </c>
      <c r="K14" s="7" t="s">
        <v>68</v>
      </c>
    </row>
    <row r="15" customFormat="false" ht="32.8" hidden="false" customHeight="false" outlineLevel="0" collapsed="false">
      <c r="A15" s="3" t="s">
        <v>69</v>
      </c>
      <c r="B15" s="3" t="s">
        <v>70</v>
      </c>
      <c r="C15" s="3" t="s">
        <v>71</v>
      </c>
      <c r="D15" s="3" t="s">
        <v>16</v>
      </c>
      <c r="E15" s="3" t="s">
        <v>39</v>
      </c>
      <c r="F15" s="3" t="s">
        <v>40</v>
      </c>
      <c r="G15" s="4" t="n">
        <v>115</v>
      </c>
      <c r="H15" s="5" t="n">
        <v>18.99</v>
      </c>
      <c r="I15" s="6" t="n">
        <f aca="false">H15/G15</f>
        <v>0.165130434782609</v>
      </c>
      <c r="J15" s="3" t="s">
        <v>72</v>
      </c>
      <c r="K15" s="3" t="s">
        <v>73</v>
      </c>
    </row>
    <row r="16" customFormat="false" ht="32.8" hidden="false" customHeight="false" outlineLevel="0" collapsed="false">
      <c r="A16" s="7" t="s">
        <v>74</v>
      </c>
      <c r="B16" s="7" t="s">
        <v>70</v>
      </c>
      <c r="C16" s="7" t="s">
        <v>71</v>
      </c>
      <c r="D16" s="7" t="s">
        <v>16</v>
      </c>
      <c r="E16" s="7" t="s">
        <v>75</v>
      </c>
      <c r="F16" s="7" t="s">
        <v>76</v>
      </c>
      <c r="G16" s="8" t="n">
        <v>115</v>
      </c>
      <c r="H16" s="9" t="n">
        <v>17.99</v>
      </c>
      <c r="I16" s="10" t="n">
        <f aca="false">H16/G16</f>
        <v>0.156434782608696</v>
      </c>
      <c r="J16" s="7" t="s">
        <v>77</v>
      </c>
      <c r="K16" s="7" t="s">
        <v>78</v>
      </c>
    </row>
    <row r="17" customFormat="false" ht="32.8" hidden="false" customHeight="false" outlineLevel="0" collapsed="false">
      <c r="A17" s="3" t="s">
        <v>79</v>
      </c>
      <c r="B17" s="3" t="s">
        <v>80</v>
      </c>
      <c r="C17" s="3" t="s">
        <v>45</v>
      </c>
      <c r="D17" s="3" t="s">
        <v>62</v>
      </c>
      <c r="E17" s="3" t="s">
        <v>22</v>
      </c>
      <c r="F17" s="3" t="s">
        <v>40</v>
      </c>
      <c r="G17" s="4" t="n">
        <v>120</v>
      </c>
      <c r="H17" s="5" t="n">
        <v>23.99</v>
      </c>
      <c r="I17" s="6" t="n">
        <f aca="false">H17/G17</f>
        <v>0.199916666666667</v>
      </c>
      <c r="J17" s="3" t="s">
        <v>81</v>
      </c>
      <c r="K17" s="3" t="s">
        <v>82</v>
      </c>
    </row>
    <row r="18" customFormat="false" ht="32.8" hidden="false" customHeight="false" outlineLevel="0" collapsed="false">
      <c r="A18" s="7" t="s">
        <v>83</v>
      </c>
      <c r="B18" s="7" t="s">
        <v>84</v>
      </c>
      <c r="C18" s="7" t="s">
        <v>45</v>
      </c>
      <c r="D18" s="7" t="s">
        <v>46</v>
      </c>
      <c r="E18" s="7" t="s">
        <v>22</v>
      </c>
      <c r="F18" s="7" t="s">
        <v>40</v>
      </c>
      <c r="G18" s="8" t="n">
        <v>50</v>
      </c>
      <c r="H18" s="9" t="n">
        <v>21.99</v>
      </c>
      <c r="I18" s="10" t="n">
        <f aca="false">H18/G18</f>
        <v>0.4398</v>
      </c>
      <c r="J18" s="7" t="s">
        <v>85</v>
      </c>
      <c r="K18" s="7" t="s">
        <v>86</v>
      </c>
    </row>
    <row r="19" customFormat="false" ht="32.8" hidden="false" customHeight="false" outlineLevel="0" collapsed="false">
      <c r="A19" s="3" t="s">
        <v>87</v>
      </c>
      <c r="B19" s="3" t="s">
        <v>84</v>
      </c>
      <c r="C19" s="3" t="s">
        <v>45</v>
      </c>
      <c r="D19" s="3" t="s">
        <v>55</v>
      </c>
      <c r="E19" s="3" t="s">
        <v>22</v>
      </c>
      <c r="F19" s="3" t="s">
        <v>88</v>
      </c>
      <c r="G19" s="4" t="n">
        <v>120</v>
      </c>
      <c r="H19" s="5" t="n">
        <v>15.99</v>
      </c>
      <c r="I19" s="6" t="n">
        <f aca="false">H19/G19</f>
        <v>0.13325</v>
      </c>
      <c r="J19" s="3" t="s">
        <v>89</v>
      </c>
      <c r="K19" s="3" t="s">
        <v>90</v>
      </c>
    </row>
    <row r="20" customFormat="false" ht="32.8" hidden="false" customHeight="false" outlineLevel="0" collapsed="false">
      <c r="A20" s="7" t="s">
        <v>91</v>
      </c>
      <c r="B20" s="7" t="s">
        <v>84</v>
      </c>
      <c r="C20" s="7" t="s">
        <v>45</v>
      </c>
      <c r="D20" s="7" t="s">
        <v>55</v>
      </c>
      <c r="E20" s="7" t="s">
        <v>22</v>
      </c>
      <c r="F20" s="7" t="s">
        <v>92</v>
      </c>
      <c r="G20" s="8" t="n">
        <v>120</v>
      </c>
      <c r="H20" s="9" t="n">
        <v>15.99</v>
      </c>
      <c r="I20" s="10" t="n">
        <f aca="false">H20/G20</f>
        <v>0.13325</v>
      </c>
      <c r="J20" s="7" t="s">
        <v>93</v>
      </c>
      <c r="K20" s="7" t="s">
        <v>94</v>
      </c>
    </row>
    <row r="21" customFormat="false" ht="32.8" hidden="false" customHeight="false" outlineLevel="0" collapsed="false">
      <c r="A21" s="3" t="s">
        <v>95</v>
      </c>
      <c r="B21" s="3" t="s">
        <v>84</v>
      </c>
      <c r="C21" s="3" t="s">
        <v>45</v>
      </c>
      <c r="D21" s="3" t="s">
        <v>16</v>
      </c>
      <c r="E21" s="3" t="s">
        <v>22</v>
      </c>
      <c r="F21" s="3" t="s">
        <v>40</v>
      </c>
      <c r="G21" s="4" t="n">
        <v>115</v>
      </c>
      <c r="H21" s="5" t="n">
        <v>16.99</v>
      </c>
      <c r="I21" s="6" t="n">
        <f aca="false">H21/G21</f>
        <v>0.147739130434783</v>
      </c>
      <c r="J21" s="3" t="s">
        <v>96</v>
      </c>
      <c r="K21" s="3" t="s">
        <v>97</v>
      </c>
    </row>
    <row r="22" customFormat="false" ht="22.35" hidden="false" customHeight="false" outlineLevel="0" collapsed="false">
      <c r="A22" s="7" t="s">
        <v>98</v>
      </c>
      <c r="B22" s="7" t="s">
        <v>84</v>
      </c>
      <c r="C22" s="7" t="s">
        <v>45</v>
      </c>
      <c r="D22" s="7" t="s">
        <v>16</v>
      </c>
      <c r="E22" s="7" t="s">
        <v>22</v>
      </c>
      <c r="F22" s="7" t="s">
        <v>23</v>
      </c>
      <c r="G22" s="8" t="n">
        <v>112</v>
      </c>
      <c r="H22" s="9" t="n">
        <v>16.99</v>
      </c>
      <c r="I22" s="10" t="n">
        <f aca="false">H22/G22</f>
        <v>0.151696428571429</v>
      </c>
      <c r="J22" s="7" t="s">
        <v>99</v>
      </c>
      <c r="K22" s="7" t="s">
        <v>100</v>
      </c>
    </row>
    <row r="23" customFormat="false" ht="22.35" hidden="false" customHeight="false" outlineLevel="0" collapsed="false">
      <c r="A23" s="3" t="s">
        <v>101</v>
      </c>
      <c r="B23" s="3" t="s">
        <v>84</v>
      </c>
      <c r="C23" s="3" t="s">
        <v>45</v>
      </c>
      <c r="D23" s="3" t="s">
        <v>16</v>
      </c>
      <c r="E23" s="3" t="s">
        <v>22</v>
      </c>
      <c r="F23" s="3" t="s">
        <v>102</v>
      </c>
      <c r="G23" s="4" t="n">
        <v>120</v>
      </c>
      <c r="H23" s="5" t="n">
        <v>16.99</v>
      </c>
      <c r="I23" s="6" t="n">
        <f aca="false">H23/G23</f>
        <v>0.141583333333333</v>
      </c>
      <c r="J23" s="3" t="s">
        <v>103</v>
      </c>
      <c r="K23" s="3" t="s">
        <v>104</v>
      </c>
    </row>
    <row r="24" customFormat="false" ht="32.8" hidden="false" customHeight="false" outlineLevel="0" collapsed="false">
      <c r="A24" s="7" t="s">
        <v>105</v>
      </c>
      <c r="B24" s="7" t="s">
        <v>84</v>
      </c>
      <c r="C24" s="7" t="s">
        <v>45</v>
      </c>
      <c r="D24" s="7" t="s">
        <v>62</v>
      </c>
      <c r="E24" s="7" t="s">
        <v>22</v>
      </c>
      <c r="F24" s="7" t="s">
        <v>106</v>
      </c>
      <c r="G24" s="8" t="n">
        <v>120</v>
      </c>
      <c r="H24" s="9" t="n">
        <v>23.99</v>
      </c>
      <c r="I24" s="10" t="n">
        <f aca="false">H24/G24</f>
        <v>0.199916666666667</v>
      </c>
      <c r="J24" s="7" t="s">
        <v>107</v>
      </c>
      <c r="K24" s="7" t="s">
        <v>108</v>
      </c>
    </row>
    <row r="25" customFormat="false" ht="32.8" hidden="false" customHeight="false" outlineLevel="0" collapsed="false">
      <c r="A25" s="3" t="s">
        <v>109</v>
      </c>
      <c r="B25" s="3" t="s">
        <v>84</v>
      </c>
      <c r="C25" s="3" t="s">
        <v>45</v>
      </c>
      <c r="D25" s="3" t="s">
        <v>62</v>
      </c>
      <c r="E25" s="3" t="s">
        <v>22</v>
      </c>
      <c r="F25" s="3" t="s">
        <v>110</v>
      </c>
      <c r="G25" s="4" t="n">
        <v>115</v>
      </c>
      <c r="H25" s="5" t="n">
        <v>23.99</v>
      </c>
      <c r="I25" s="6" t="n">
        <f aca="false">H25/G25</f>
        <v>0.208608695652174</v>
      </c>
      <c r="J25" s="3" t="s">
        <v>111</v>
      </c>
      <c r="K25" s="3" t="s">
        <v>112</v>
      </c>
    </row>
    <row r="26" customFormat="false" ht="32.8" hidden="false" customHeight="false" outlineLevel="0" collapsed="false">
      <c r="A26" s="7" t="s">
        <v>113</v>
      </c>
      <c r="B26" s="7" t="s">
        <v>84</v>
      </c>
      <c r="C26" s="7" t="s">
        <v>45</v>
      </c>
      <c r="D26" s="7" t="s">
        <v>16</v>
      </c>
      <c r="E26" s="7" t="s">
        <v>22</v>
      </c>
      <c r="F26" s="7" t="s">
        <v>114</v>
      </c>
      <c r="G26" s="8" t="n">
        <v>120</v>
      </c>
      <c r="H26" s="9" t="n">
        <v>16.99</v>
      </c>
      <c r="I26" s="10" t="n">
        <f aca="false">H26/G26</f>
        <v>0.141583333333333</v>
      </c>
      <c r="J26" s="7" t="s">
        <v>115</v>
      </c>
      <c r="K26" s="7" t="s">
        <v>116</v>
      </c>
    </row>
    <row r="27" customFormat="false" ht="43.25" hidden="false" customHeight="false" outlineLevel="0" collapsed="false">
      <c r="A27" s="3" t="s">
        <v>117</v>
      </c>
      <c r="B27" s="3" t="s">
        <v>118</v>
      </c>
      <c r="C27" s="3" t="s">
        <v>45</v>
      </c>
      <c r="D27" s="3" t="s">
        <v>16</v>
      </c>
      <c r="E27" s="3" t="s">
        <v>22</v>
      </c>
      <c r="F27" s="3" t="s">
        <v>119</v>
      </c>
      <c r="G27" s="4" t="n">
        <v>120</v>
      </c>
      <c r="H27" s="5" t="n">
        <v>32.99</v>
      </c>
      <c r="I27" s="6" t="n">
        <f aca="false">H27/G27</f>
        <v>0.274916666666667</v>
      </c>
      <c r="J27" s="3" t="s">
        <v>120</v>
      </c>
      <c r="K27" s="3" t="s">
        <v>121</v>
      </c>
    </row>
    <row r="28" customFormat="false" ht="22.35" hidden="false" customHeight="false" outlineLevel="0" collapsed="false">
      <c r="A28" s="7" t="s">
        <v>122</v>
      </c>
      <c r="B28" s="7" t="s">
        <v>118</v>
      </c>
      <c r="C28" s="7" t="s">
        <v>45</v>
      </c>
      <c r="D28" s="7" t="s">
        <v>16</v>
      </c>
      <c r="E28" s="7" t="s">
        <v>22</v>
      </c>
      <c r="F28" s="7" t="s">
        <v>40</v>
      </c>
      <c r="G28" s="8" t="n">
        <v>120</v>
      </c>
      <c r="H28" s="9" t="n">
        <v>30</v>
      </c>
      <c r="I28" s="10" t="n">
        <f aca="false">H28/G28</f>
        <v>0.25</v>
      </c>
      <c r="J28" s="7" t="s">
        <v>120</v>
      </c>
      <c r="K28" s="7" t="s">
        <v>123</v>
      </c>
    </row>
    <row r="29" customFormat="false" ht="32.8" hidden="false" customHeight="false" outlineLevel="0" collapsed="false">
      <c r="A29" s="3" t="s">
        <v>124</v>
      </c>
      <c r="B29" s="3" t="s">
        <v>118</v>
      </c>
      <c r="C29" s="3" t="s">
        <v>45</v>
      </c>
      <c r="D29" s="3" t="s">
        <v>16</v>
      </c>
      <c r="E29" s="3" t="s">
        <v>22</v>
      </c>
      <c r="F29" s="3" t="s">
        <v>40</v>
      </c>
      <c r="G29" s="4" t="n">
        <v>120</v>
      </c>
      <c r="H29" s="5" t="n">
        <v>31.99</v>
      </c>
      <c r="I29" s="6" t="n">
        <f aca="false">H29/G29</f>
        <v>0.266583333333333</v>
      </c>
      <c r="J29" s="3" t="s">
        <v>120</v>
      </c>
      <c r="K29" s="3" t="s">
        <v>125</v>
      </c>
    </row>
    <row r="30" customFormat="false" ht="22.35" hidden="false" customHeight="false" outlineLevel="0" collapsed="false">
      <c r="A30" s="7" t="s">
        <v>126</v>
      </c>
      <c r="B30" s="7" t="s">
        <v>118</v>
      </c>
      <c r="C30" s="7" t="s">
        <v>45</v>
      </c>
      <c r="D30" s="7" t="s">
        <v>62</v>
      </c>
      <c r="E30" s="7" t="s">
        <v>22</v>
      </c>
      <c r="F30" s="7" t="s">
        <v>40</v>
      </c>
      <c r="G30" s="8" t="n">
        <v>120</v>
      </c>
      <c r="H30" s="9" t="n">
        <v>39</v>
      </c>
      <c r="I30" s="10" t="n">
        <f aca="false">H30/G30</f>
        <v>0.325</v>
      </c>
      <c r="J30" s="7" t="s">
        <v>120</v>
      </c>
      <c r="K30" s="7" t="s">
        <v>127</v>
      </c>
    </row>
    <row r="31" customFormat="false" ht="32.8" hidden="false" customHeight="false" outlineLevel="0" collapsed="false">
      <c r="A31" s="3" t="s">
        <v>128</v>
      </c>
      <c r="B31" s="3" t="s">
        <v>118</v>
      </c>
      <c r="C31" s="3" t="s">
        <v>45</v>
      </c>
      <c r="D31" s="3" t="s">
        <v>62</v>
      </c>
      <c r="E31" s="3" t="s">
        <v>129</v>
      </c>
      <c r="F31" s="3" t="s">
        <v>40</v>
      </c>
      <c r="G31" s="4" t="n">
        <v>120</v>
      </c>
      <c r="H31" s="5" t="n">
        <v>52</v>
      </c>
      <c r="I31" s="6" t="n">
        <f aca="false">H31/G31</f>
        <v>0.433333333333333</v>
      </c>
      <c r="J31" s="3" t="s">
        <v>120</v>
      </c>
      <c r="K31" s="3" t="s">
        <v>130</v>
      </c>
    </row>
    <row r="32" customFormat="false" ht="32.8" hidden="false" customHeight="false" outlineLevel="0" collapsed="false">
      <c r="A32" s="7" t="s">
        <v>131</v>
      </c>
      <c r="B32" s="7" t="s">
        <v>132</v>
      </c>
      <c r="C32" s="7" t="s">
        <v>15</v>
      </c>
      <c r="D32" s="7" t="s">
        <v>16</v>
      </c>
      <c r="E32" s="7" t="s">
        <v>133</v>
      </c>
      <c r="F32" s="7" t="s">
        <v>40</v>
      </c>
      <c r="G32" s="8" t="n">
        <v>65</v>
      </c>
      <c r="H32" s="9" t="n">
        <v>13.99</v>
      </c>
      <c r="I32" s="10" t="n">
        <f aca="false">H32/G32</f>
        <v>0.215230769230769</v>
      </c>
      <c r="J32" s="7" t="s">
        <v>134</v>
      </c>
      <c r="K32" s="7" t="s">
        <v>135</v>
      </c>
    </row>
    <row r="33" customFormat="false" ht="43.25" hidden="false" customHeight="false" outlineLevel="0" collapsed="false">
      <c r="A33" s="3" t="s">
        <v>136</v>
      </c>
      <c r="B33" s="3" t="s">
        <v>137</v>
      </c>
      <c r="C33" s="3" t="s">
        <v>15</v>
      </c>
      <c r="D33" s="3" t="s">
        <v>16</v>
      </c>
      <c r="E33" s="3" t="s">
        <v>22</v>
      </c>
      <c r="F33" s="3" t="s">
        <v>138</v>
      </c>
      <c r="G33" s="4" t="n">
        <v>125</v>
      </c>
      <c r="H33" s="5" t="n">
        <v>15.99</v>
      </c>
      <c r="I33" s="6" t="n">
        <f aca="false">H33/G33</f>
        <v>0.12792</v>
      </c>
      <c r="J33" s="3" t="s">
        <v>139</v>
      </c>
      <c r="K33" s="3" t="s">
        <v>140</v>
      </c>
    </row>
    <row r="34" customFormat="false" ht="32.8" hidden="false" customHeight="false" outlineLevel="0" collapsed="false">
      <c r="A34" s="7" t="s">
        <v>141</v>
      </c>
      <c r="B34" s="7" t="s">
        <v>137</v>
      </c>
      <c r="C34" s="7" t="s">
        <v>15</v>
      </c>
      <c r="D34" s="7" t="s">
        <v>55</v>
      </c>
      <c r="E34" s="7" t="s">
        <v>22</v>
      </c>
      <c r="F34" s="7" t="s">
        <v>40</v>
      </c>
      <c r="G34" s="8" t="n">
        <v>125</v>
      </c>
      <c r="H34" s="9" t="n">
        <v>16.99</v>
      </c>
      <c r="I34" s="10" t="n">
        <f aca="false">H34/G34</f>
        <v>0.13592</v>
      </c>
      <c r="J34" s="7" t="s">
        <v>142</v>
      </c>
      <c r="K34" s="7" t="s">
        <v>143</v>
      </c>
    </row>
    <row r="35" customFormat="false" ht="32.8" hidden="false" customHeight="false" outlineLevel="0" collapsed="false">
      <c r="A35" s="3" t="s">
        <v>144</v>
      </c>
      <c r="B35" s="3" t="s">
        <v>137</v>
      </c>
      <c r="C35" s="3" t="s">
        <v>15</v>
      </c>
      <c r="D35" s="3" t="s">
        <v>16</v>
      </c>
      <c r="E35" s="3" t="s">
        <v>22</v>
      </c>
      <c r="F35" s="3" t="s">
        <v>40</v>
      </c>
      <c r="G35" s="4" t="n">
        <v>125</v>
      </c>
      <c r="H35" s="5" t="n">
        <v>15.99</v>
      </c>
      <c r="I35" s="6" t="n">
        <f aca="false">H35/G35</f>
        <v>0.12792</v>
      </c>
      <c r="J35" s="3" t="s">
        <v>145</v>
      </c>
      <c r="K35" s="3" t="s">
        <v>146</v>
      </c>
    </row>
    <row r="36" customFormat="false" ht="32.8" hidden="false" customHeight="false" outlineLevel="0" collapsed="false">
      <c r="A36" s="7" t="s">
        <v>147</v>
      </c>
      <c r="B36" s="7" t="s">
        <v>137</v>
      </c>
      <c r="C36" s="7" t="s">
        <v>15</v>
      </c>
      <c r="D36" s="7" t="s">
        <v>16</v>
      </c>
      <c r="E36" s="7" t="s">
        <v>58</v>
      </c>
      <c r="F36" s="7" t="s">
        <v>30</v>
      </c>
      <c r="G36" s="8" t="n">
        <v>125</v>
      </c>
      <c r="H36" s="9" t="n">
        <v>14.99</v>
      </c>
      <c r="I36" s="10" t="n">
        <f aca="false">H36/G36</f>
        <v>0.11992</v>
      </c>
      <c r="J36" s="7" t="s">
        <v>148</v>
      </c>
      <c r="K36" s="7" t="s">
        <v>149</v>
      </c>
    </row>
    <row r="37" customFormat="false" ht="22.35" hidden="false" customHeight="false" outlineLevel="0" collapsed="false">
      <c r="A37" s="3" t="s">
        <v>150</v>
      </c>
      <c r="B37" s="3" t="s">
        <v>137</v>
      </c>
      <c r="C37" s="3" t="s">
        <v>15</v>
      </c>
      <c r="D37" s="3" t="s">
        <v>16</v>
      </c>
      <c r="E37" s="3" t="s">
        <v>22</v>
      </c>
      <c r="F37" s="3" t="s">
        <v>23</v>
      </c>
      <c r="G37" s="4" t="n">
        <v>125</v>
      </c>
      <c r="H37" s="5" t="n">
        <v>15.99</v>
      </c>
      <c r="I37" s="6" t="n">
        <f aca="false">H37/G37</f>
        <v>0.12792</v>
      </c>
      <c r="J37" s="3" t="s">
        <v>151</v>
      </c>
      <c r="K37" s="3" t="s">
        <v>152</v>
      </c>
    </row>
    <row r="38" customFormat="false" ht="32.8" hidden="false" customHeight="false" outlineLevel="0" collapsed="false">
      <c r="A38" s="7" t="s">
        <v>153</v>
      </c>
      <c r="B38" s="7" t="s">
        <v>137</v>
      </c>
      <c r="C38" s="7" t="s">
        <v>15</v>
      </c>
      <c r="D38" s="7" t="s">
        <v>55</v>
      </c>
      <c r="E38" s="7" t="s">
        <v>22</v>
      </c>
      <c r="F38" s="7" t="s">
        <v>154</v>
      </c>
      <c r="G38" s="8" t="n">
        <v>125</v>
      </c>
      <c r="H38" s="9" t="n">
        <v>16.99</v>
      </c>
      <c r="I38" s="10" t="n">
        <f aca="false">H38/G38</f>
        <v>0.13592</v>
      </c>
      <c r="J38" s="7" t="s">
        <v>155</v>
      </c>
      <c r="K38" s="7" t="s">
        <v>156</v>
      </c>
    </row>
    <row r="39" customFormat="false" ht="22.35" hidden="false" customHeight="false" outlineLevel="0" collapsed="false">
      <c r="A39" s="3" t="s">
        <v>157</v>
      </c>
      <c r="B39" s="3" t="s">
        <v>137</v>
      </c>
      <c r="C39" s="3" t="s">
        <v>15</v>
      </c>
      <c r="D39" s="3" t="s">
        <v>16</v>
      </c>
      <c r="E39" s="3" t="s">
        <v>22</v>
      </c>
      <c r="F39" s="3" t="s">
        <v>154</v>
      </c>
      <c r="G39" s="4" t="n">
        <v>125</v>
      </c>
      <c r="H39" s="5" t="n">
        <v>15.99</v>
      </c>
      <c r="I39" s="6" t="n">
        <f aca="false">H39/G39</f>
        <v>0.12792</v>
      </c>
      <c r="J39" s="3" t="s">
        <v>158</v>
      </c>
      <c r="K39" s="3" t="s">
        <v>159</v>
      </c>
    </row>
    <row r="40" customFormat="false" ht="22.35" hidden="false" customHeight="false" outlineLevel="0" collapsed="false">
      <c r="A40" s="7" t="s">
        <v>160</v>
      </c>
      <c r="B40" s="7" t="s">
        <v>137</v>
      </c>
      <c r="C40" s="7" t="s">
        <v>15</v>
      </c>
      <c r="D40" s="7" t="s">
        <v>16</v>
      </c>
      <c r="E40" s="7" t="s">
        <v>34</v>
      </c>
      <c r="F40" s="7" t="s">
        <v>35</v>
      </c>
      <c r="G40" s="8" t="n">
        <v>125</v>
      </c>
      <c r="H40" s="9" t="n">
        <v>15.99</v>
      </c>
      <c r="I40" s="10" t="n">
        <f aca="false">H40/G40</f>
        <v>0.12792</v>
      </c>
      <c r="J40" s="7" t="s">
        <v>161</v>
      </c>
      <c r="K40" s="7" t="s">
        <v>162</v>
      </c>
    </row>
    <row r="41" customFormat="false" ht="32.8" hidden="false" customHeight="false" outlineLevel="0" collapsed="false">
      <c r="A41" s="3" t="s">
        <v>163</v>
      </c>
      <c r="B41" s="3" t="s">
        <v>164</v>
      </c>
      <c r="C41" s="3" t="s">
        <v>45</v>
      </c>
      <c r="D41" s="3" t="s">
        <v>46</v>
      </c>
      <c r="E41" s="3" t="s">
        <v>22</v>
      </c>
      <c r="F41" s="3" t="s">
        <v>40</v>
      </c>
      <c r="G41" s="4" t="n">
        <v>50</v>
      </c>
      <c r="H41" s="5" t="n">
        <v>23.99</v>
      </c>
      <c r="I41" s="6" t="n">
        <f aca="false">H41/G41</f>
        <v>0.4798</v>
      </c>
      <c r="J41" s="3" t="s">
        <v>165</v>
      </c>
      <c r="K41" s="3" t="s">
        <v>166</v>
      </c>
    </row>
    <row r="42" customFormat="false" ht="32.8" hidden="false" customHeight="false" outlineLevel="0" collapsed="false">
      <c r="A42" s="7" t="s">
        <v>167</v>
      </c>
      <c r="B42" s="7" t="s">
        <v>168</v>
      </c>
      <c r="C42" s="7" t="s">
        <v>45</v>
      </c>
      <c r="D42" s="7" t="s">
        <v>16</v>
      </c>
      <c r="E42" s="7" t="s">
        <v>22</v>
      </c>
      <c r="F42" s="7" t="s">
        <v>40</v>
      </c>
      <c r="G42" s="8" t="n">
        <v>120</v>
      </c>
      <c r="H42" s="9" t="n">
        <v>21.99</v>
      </c>
      <c r="I42" s="10" t="n">
        <f aca="false">H42/G42</f>
        <v>0.18325</v>
      </c>
      <c r="J42" s="7" t="s">
        <v>169</v>
      </c>
      <c r="K42" s="7" t="s">
        <v>170</v>
      </c>
    </row>
    <row r="43" customFormat="false" ht="32.8" hidden="false" customHeight="false" outlineLevel="0" collapsed="false">
      <c r="A43" s="3" t="s">
        <v>171</v>
      </c>
      <c r="B43" s="3" t="s">
        <v>172</v>
      </c>
      <c r="C43" s="3" t="s">
        <v>45</v>
      </c>
      <c r="D43" s="3" t="s">
        <v>62</v>
      </c>
      <c r="E43" s="3" t="s">
        <v>22</v>
      </c>
      <c r="F43" s="3" t="s">
        <v>40</v>
      </c>
      <c r="G43" s="4" t="n">
        <v>320</v>
      </c>
      <c r="H43" s="5" t="n">
        <v>39.99</v>
      </c>
      <c r="I43" s="6" t="n">
        <f aca="false">H43/G43</f>
        <v>0.12496875</v>
      </c>
      <c r="J43" s="3" t="s">
        <v>173</v>
      </c>
      <c r="K43" s="3" t="s">
        <v>174</v>
      </c>
    </row>
    <row r="44" customFormat="false" ht="32.8" hidden="false" customHeight="false" outlineLevel="0" collapsed="false">
      <c r="A44" s="7" t="s">
        <v>175</v>
      </c>
      <c r="B44" s="7" t="s">
        <v>172</v>
      </c>
      <c r="C44" s="7" t="s">
        <v>45</v>
      </c>
      <c r="D44" s="7" t="s">
        <v>16</v>
      </c>
      <c r="E44" s="7" t="s">
        <v>22</v>
      </c>
      <c r="F44" s="7" t="s">
        <v>40</v>
      </c>
      <c r="G44" s="8" t="n">
        <v>115</v>
      </c>
      <c r="H44" s="9" t="n">
        <v>28.99</v>
      </c>
      <c r="I44" s="10" t="n">
        <f aca="false">H44/G44</f>
        <v>0.252086956521739</v>
      </c>
      <c r="J44" s="7" t="s">
        <v>173</v>
      </c>
      <c r="K44" s="7" t="s">
        <v>176</v>
      </c>
    </row>
    <row r="45" customFormat="false" ht="32.8" hidden="false" customHeight="false" outlineLevel="0" collapsed="false">
      <c r="A45" s="3" t="s">
        <v>177</v>
      </c>
      <c r="B45" s="3" t="s">
        <v>172</v>
      </c>
      <c r="C45" s="3" t="s">
        <v>45</v>
      </c>
      <c r="D45" s="3" t="s">
        <v>16</v>
      </c>
      <c r="E45" s="3" t="s">
        <v>22</v>
      </c>
      <c r="F45" s="3" t="s">
        <v>23</v>
      </c>
      <c r="G45" s="4" t="n">
        <v>115</v>
      </c>
      <c r="H45" s="5" t="n">
        <v>28.99</v>
      </c>
      <c r="I45" s="6" t="n">
        <f aca="false">H45/G45</f>
        <v>0.252086956521739</v>
      </c>
      <c r="J45" s="3" t="s">
        <v>178</v>
      </c>
      <c r="K45" s="3" t="s">
        <v>179</v>
      </c>
    </row>
    <row r="46" customFormat="false" ht="43.25" hidden="false" customHeight="false" outlineLevel="0" collapsed="false">
      <c r="A46" s="7" t="s">
        <v>180</v>
      </c>
      <c r="B46" s="7" t="s">
        <v>181</v>
      </c>
      <c r="C46" s="7" t="s">
        <v>15</v>
      </c>
      <c r="D46" s="7" t="s">
        <v>62</v>
      </c>
      <c r="E46" s="7" t="s">
        <v>22</v>
      </c>
      <c r="F46" s="7" t="s">
        <v>182</v>
      </c>
      <c r="G46" s="8" t="n">
        <v>120</v>
      </c>
      <c r="H46" s="9" t="n">
        <v>18.99</v>
      </c>
      <c r="I46" s="10" t="n">
        <f aca="false">H46/G46</f>
        <v>0.15825</v>
      </c>
      <c r="J46" s="7" t="s">
        <v>183</v>
      </c>
      <c r="K46" s="7" t="s">
        <v>184</v>
      </c>
    </row>
    <row r="47" customFormat="false" ht="32.8" hidden="false" customHeight="false" outlineLevel="0" collapsed="false">
      <c r="A47" s="3" t="s">
        <v>185</v>
      </c>
      <c r="B47" s="3" t="s">
        <v>186</v>
      </c>
      <c r="C47" s="3" t="s">
        <v>45</v>
      </c>
      <c r="D47" s="3" t="s">
        <v>16</v>
      </c>
      <c r="E47" s="3" t="s">
        <v>187</v>
      </c>
      <c r="F47" s="3" t="s">
        <v>188</v>
      </c>
      <c r="G47" s="4" t="n">
        <v>90</v>
      </c>
      <c r="H47" s="5" t="n">
        <v>8.99</v>
      </c>
      <c r="I47" s="6" t="n">
        <f aca="false">H47/G47</f>
        <v>0.0998888888888889</v>
      </c>
      <c r="J47" s="3" t="s">
        <v>189</v>
      </c>
      <c r="K47" s="3" t="s">
        <v>190</v>
      </c>
    </row>
    <row r="48" customFormat="false" ht="32.8" hidden="false" customHeight="false" outlineLevel="0" collapsed="false">
      <c r="A48" s="7" t="s">
        <v>191</v>
      </c>
      <c r="B48" s="7" t="s">
        <v>192</v>
      </c>
      <c r="C48" s="7" t="s">
        <v>15</v>
      </c>
      <c r="D48" s="7" t="s">
        <v>16</v>
      </c>
      <c r="E48" s="7" t="s">
        <v>193</v>
      </c>
      <c r="F48" s="7" t="s">
        <v>194</v>
      </c>
      <c r="G48" s="8" t="n">
        <v>108</v>
      </c>
      <c r="H48" s="9" t="n">
        <v>13.99</v>
      </c>
      <c r="I48" s="10" t="n">
        <f aca="false">H48/G48</f>
        <v>0.129537037037037</v>
      </c>
      <c r="J48" s="7" t="s">
        <v>195</v>
      </c>
      <c r="K48" s="7" t="s">
        <v>196</v>
      </c>
    </row>
    <row r="49" customFormat="false" ht="32.8" hidden="false" customHeight="false" outlineLevel="0" collapsed="false">
      <c r="A49" s="3" t="s">
        <v>197</v>
      </c>
      <c r="B49" s="3" t="s">
        <v>192</v>
      </c>
      <c r="C49" s="3" t="s">
        <v>15</v>
      </c>
      <c r="D49" s="3" t="s">
        <v>16</v>
      </c>
      <c r="E49" s="3" t="s">
        <v>198</v>
      </c>
      <c r="F49" s="3" t="s">
        <v>199</v>
      </c>
      <c r="G49" s="4" t="n">
        <v>108</v>
      </c>
      <c r="H49" s="5" t="n">
        <v>14.99</v>
      </c>
      <c r="I49" s="6" t="n">
        <f aca="false">H49/G49</f>
        <v>0.138796296296296</v>
      </c>
      <c r="J49" s="3" t="s">
        <v>200</v>
      </c>
      <c r="K49" s="3" t="s">
        <v>201</v>
      </c>
    </row>
    <row r="50" customFormat="false" ht="32.8" hidden="false" customHeight="false" outlineLevel="0" collapsed="false">
      <c r="A50" s="7" t="s">
        <v>202</v>
      </c>
      <c r="B50" s="7" t="s">
        <v>192</v>
      </c>
      <c r="C50" s="7" t="s">
        <v>15</v>
      </c>
      <c r="D50" s="7" t="s">
        <v>16</v>
      </c>
      <c r="E50" s="7" t="s">
        <v>22</v>
      </c>
      <c r="F50" s="7" t="s">
        <v>203</v>
      </c>
      <c r="G50" s="8" t="n">
        <v>116</v>
      </c>
      <c r="H50" s="9" t="n">
        <v>13.99</v>
      </c>
      <c r="I50" s="10" t="n">
        <f aca="false">H50/G50</f>
        <v>0.120603448275862</v>
      </c>
      <c r="J50" s="7" t="s">
        <v>204</v>
      </c>
      <c r="K50" s="7" t="s">
        <v>205</v>
      </c>
    </row>
    <row r="51" customFormat="false" ht="32.8" hidden="false" customHeight="false" outlineLevel="0" collapsed="false">
      <c r="A51" s="3" t="s">
        <v>206</v>
      </c>
      <c r="B51" s="3" t="s">
        <v>192</v>
      </c>
      <c r="C51" s="3" t="s">
        <v>15</v>
      </c>
      <c r="D51" s="3" t="s">
        <v>16</v>
      </c>
      <c r="E51" s="3" t="s">
        <v>22</v>
      </c>
      <c r="F51" s="3" t="s">
        <v>207</v>
      </c>
      <c r="G51" s="4" t="n">
        <v>108</v>
      </c>
      <c r="H51" s="5" t="n">
        <v>15.99</v>
      </c>
      <c r="I51" s="6" t="n">
        <f aca="false">H51/G51</f>
        <v>0.148055555555556</v>
      </c>
      <c r="J51" s="3" t="s">
        <v>208</v>
      </c>
      <c r="K51" s="3" t="s">
        <v>209</v>
      </c>
    </row>
    <row r="52" customFormat="false" ht="22.35" hidden="false" customHeight="false" outlineLevel="0" collapsed="false">
      <c r="A52" s="7" t="s">
        <v>210</v>
      </c>
      <c r="B52" s="7" t="s">
        <v>192</v>
      </c>
      <c r="C52" s="7" t="s">
        <v>15</v>
      </c>
      <c r="D52" s="7" t="s">
        <v>16</v>
      </c>
      <c r="E52" s="7" t="s">
        <v>211</v>
      </c>
      <c r="F52" s="7" t="s">
        <v>212</v>
      </c>
      <c r="G52" s="8" t="n">
        <v>108</v>
      </c>
      <c r="H52" s="9" t="n">
        <v>14.99</v>
      </c>
      <c r="I52" s="10" t="n">
        <f aca="false">H52/G52</f>
        <v>0.138796296296296</v>
      </c>
      <c r="J52" s="7" t="s">
        <v>213</v>
      </c>
      <c r="K52" s="7" t="s">
        <v>214</v>
      </c>
    </row>
    <row r="53" customFormat="false" ht="32.8" hidden="false" customHeight="false" outlineLevel="0" collapsed="false">
      <c r="A53" s="3" t="s">
        <v>215</v>
      </c>
      <c r="B53" s="3" t="s">
        <v>192</v>
      </c>
      <c r="C53" s="3" t="s">
        <v>15</v>
      </c>
      <c r="D53" s="3" t="s">
        <v>16</v>
      </c>
      <c r="E53" s="3" t="s">
        <v>22</v>
      </c>
      <c r="F53" s="3" t="s">
        <v>106</v>
      </c>
      <c r="G53" s="4" t="n">
        <v>112</v>
      </c>
      <c r="H53" s="5" t="n">
        <v>14.99</v>
      </c>
      <c r="I53" s="6" t="n">
        <f aca="false">H53/G53</f>
        <v>0.133839285714286</v>
      </c>
      <c r="J53" s="3" t="s">
        <v>216</v>
      </c>
      <c r="K53" s="3" t="s">
        <v>217</v>
      </c>
    </row>
    <row r="54" customFormat="false" ht="32.8" hidden="false" customHeight="false" outlineLevel="0" collapsed="false">
      <c r="A54" s="7" t="s">
        <v>218</v>
      </c>
      <c r="B54" s="7" t="s">
        <v>192</v>
      </c>
      <c r="C54" s="7" t="s">
        <v>15</v>
      </c>
      <c r="D54" s="7" t="s">
        <v>16</v>
      </c>
      <c r="E54" s="7" t="s">
        <v>22</v>
      </c>
      <c r="F54" s="7" t="s">
        <v>40</v>
      </c>
      <c r="G54" s="8" t="n">
        <v>108</v>
      </c>
      <c r="H54" s="9" t="n">
        <v>14.99</v>
      </c>
      <c r="I54" s="10" t="n">
        <f aca="false">H54/G54</f>
        <v>0.138796296296296</v>
      </c>
      <c r="J54" s="7" t="s">
        <v>219</v>
      </c>
      <c r="K54" s="7" t="s">
        <v>220</v>
      </c>
    </row>
    <row r="55" customFormat="false" ht="22.35" hidden="false" customHeight="false" outlineLevel="0" collapsed="false">
      <c r="A55" s="3" t="s">
        <v>221</v>
      </c>
      <c r="B55" s="3" t="s">
        <v>192</v>
      </c>
      <c r="C55" s="3" t="s">
        <v>15</v>
      </c>
      <c r="D55" s="3" t="s">
        <v>16</v>
      </c>
      <c r="E55" s="3" t="s">
        <v>222</v>
      </c>
      <c r="F55" s="3" t="s">
        <v>223</v>
      </c>
      <c r="G55" s="4" t="n">
        <v>108</v>
      </c>
      <c r="H55" s="5" t="n">
        <v>14.99</v>
      </c>
      <c r="I55" s="6" t="n">
        <f aca="false">H55/G55</f>
        <v>0.138796296296296</v>
      </c>
      <c r="J55" s="3" t="s">
        <v>224</v>
      </c>
      <c r="K55" s="3" t="s">
        <v>225</v>
      </c>
    </row>
    <row r="56" customFormat="false" ht="32.8" hidden="false" customHeight="false" outlineLevel="0" collapsed="false">
      <c r="A56" s="7" t="s">
        <v>226</v>
      </c>
      <c r="B56" s="7" t="s">
        <v>192</v>
      </c>
      <c r="C56" s="7" t="s">
        <v>15</v>
      </c>
      <c r="D56" s="7" t="s">
        <v>16</v>
      </c>
      <c r="E56" s="7" t="s">
        <v>211</v>
      </c>
      <c r="F56" s="7" t="s">
        <v>227</v>
      </c>
      <c r="G56" s="8" t="n">
        <v>108</v>
      </c>
      <c r="H56" s="9" t="n">
        <v>14.99</v>
      </c>
      <c r="I56" s="10" t="n">
        <f aca="false">H56/G56</f>
        <v>0.138796296296296</v>
      </c>
      <c r="J56" s="7" t="s">
        <v>228</v>
      </c>
      <c r="K56" s="7" t="s">
        <v>229</v>
      </c>
    </row>
    <row r="57" customFormat="false" ht="22.35" hidden="false" customHeight="false" outlineLevel="0" collapsed="false">
      <c r="A57" s="3" t="s">
        <v>230</v>
      </c>
      <c r="B57" s="3" t="s">
        <v>192</v>
      </c>
      <c r="C57" s="3" t="s">
        <v>15</v>
      </c>
      <c r="D57" s="3" t="s">
        <v>16</v>
      </c>
      <c r="E57" s="3" t="s">
        <v>39</v>
      </c>
      <c r="F57" s="3" t="s">
        <v>23</v>
      </c>
      <c r="G57" s="4" t="n">
        <v>108</v>
      </c>
      <c r="H57" s="5" t="n">
        <v>16.99</v>
      </c>
      <c r="I57" s="6" t="n">
        <f aca="false">H57/G57</f>
        <v>0.157314814814815</v>
      </c>
      <c r="J57" s="3" t="s">
        <v>195</v>
      </c>
      <c r="K57" s="3" t="s">
        <v>231</v>
      </c>
    </row>
    <row r="58" customFormat="false" ht="22.35" hidden="false" customHeight="false" outlineLevel="0" collapsed="false">
      <c r="A58" s="7" t="s">
        <v>232</v>
      </c>
      <c r="B58" s="7" t="s">
        <v>192</v>
      </c>
      <c r="C58" s="7" t="s">
        <v>15</v>
      </c>
      <c r="D58" s="7" t="s">
        <v>16</v>
      </c>
      <c r="E58" s="7" t="s">
        <v>233</v>
      </c>
      <c r="F58" s="7" t="s">
        <v>102</v>
      </c>
      <c r="G58" s="8" t="n">
        <v>108</v>
      </c>
      <c r="H58" s="9" t="n">
        <v>16.99</v>
      </c>
      <c r="I58" s="10" t="n">
        <f aca="false">H58/G58</f>
        <v>0.157314814814815</v>
      </c>
      <c r="J58" s="7" t="s">
        <v>234</v>
      </c>
      <c r="K58" s="7" t="s">
        <v>235</v>
      </c>
    </row>
    <row r="59" customFormat="false" ht="32.8" hidden="false" customHeight="false" outlineLevel="0" collapsed="false">
      <c r="A59" s="3" t="s">
        <v>236</v>
      </c>
      <c r="B59" s="3" t="s">
        <v>192</v>
      </c>
      <c r="C59" s="3" t="s">
        <v>15</v>
      </c>
      <c r="D59" s="3" t="s">
        <v>16</v>
      </c>
      <c r="E59" s="3" t="s">
        <v>39</v>
      </c>
      <c r="F59" s="3" t="s">
        <v>207</v>
      </c>
      <c r="G59" s="4" t="n">
        <v>108</v>
      </c>
      <c r="H59" s="5" t="n">
        <v>16.99</v>
      </c>
      <c r="I59" s="6" t="n">
        <f aca="false">H59/G59</f>
        <v>0.157314814814815</v>
      </c>
      <c r="J59" s="3" t="s">
        <v>237</v>
      </c>
      <c r="K59" s="3" t="s">
        <v>238</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s>
  <sheetData>
    <row r="1" customFormat="false" ht="23.85" hidden="false" customHeight="false" outlineLevel="0" collapsed="false">
      <c r="A1" s="2" t="s">
        <v>10</v>
      </c>
      <c r="B1" s="2" t="s">
        <v>239</v>
      </c>
    </row>
    <row r="2" customFormat="false" ht="15" hidden="false" customHeight="false" outlineLevel="0" collapsed="false">
      <c r="A2" s="11" t="s">
        <v>240</v>
      </c>
      <c r="B2" s="12" t="n">
        <v>0.3543</v>
      </c>
    </row>
    <row r="3" customFormat="false" ht="15" hidden="false" customHeight="false" outlineLevel="0" collapsed="false">
      <c r="A3" s="11" t="s">
        <v>241</v>
      </c>
      <c r="B3" s="12" t="n">
        <v>0.31</v>
      </c>
    </row>
    <row r="4" customFormat="false" ht="15" hidden="false" customHeight="false" outlineLevel="0" collapsed="false">
      <c r="A4" s="11" t="s">
        <v>242</v>
      </c>
      <c r="B4" s="12" t="n">
        <v>0.2152</v>
      </c>
    </row>
    <row r="5" customFormat="false" ht="15" hidden="false" customHeight="false" outlineLevel="0" collapsed="false">
      <c r="A5" s="11" t="s">
        <v>243</v>
      </c>
      <c r="B5" s="12" t="n">
        <v>0.2097</v>
      </c>
    </row>
    <row r="6" customFormat="false" ht="15" hidden="false" customHeight="false" outlineLevel="0" collapsed="false">
      <c r="A6" s="11" t="s">
        <v>244</v>
      </c>
      <c r="B6" s="12" t="n">
        <v>0.1999</v>
      </c>
    </row>
    <row r="7" customFormat="false" ht="15" hidden="false" customHeight="false" outlineLevel="0" collapsed="false">
      <c r="A7" s="11" t="s">
        <v>245</v>
      </c>
      <c r="B7" s="12" t="n">
        <v>0.1886</v>
      </c>
    </row>
    <row r="8" customFormat="false" ht="15" hidden="false" customHeight="false" outlineLevel="0" collapsed="false">
      <c r="A8" s="11" t="s">
        <v>246</v>
      </c>
      <c r="B8" s="12" t="n">
        <v>0.1855</v>
      </c>
    </row>
    <row r="9" customFormat="false" ht="15" hidden="false" customHeight="false" outlineLevel="0" collapsed="false">
      <c r="A9" s="11" t="s">
        <v>247</v>
      </c>
      <c r="B9" s="12" t="n">
        <v>0.1599</v>
      </c>
    </row>
    <row r="10" customFormat="false" ht="15" hidden="false" customHeight="false" outlineLevel="0" collapsed="false">
      <c r="A10" s="11" t="s">
        <v>248</v>
      </c>
      <c r="B10" s="12" t="n">
        <v>0.1415</v>
      </c>
    </row>
    <row r="11" customFormat="false" ht="15" hidden="false" customHeight="false" outlineLevel="0" collapsed="false">
      <c r="A11" s="11" t="s">
        <v>249</v>
      </c>
      <c r="B11" s="12" t="n">
        <v>0.1292</v>
      </c>
    </row>
    <row r="12" customFormat="false" ht="15" hidden="false" customHeight="false" outlineLevel="0" collapsed="false">
      <c r="A12" s="11" t="s">
        <v>250</v>
      </c>
      <c r="B12" s="12" t="n">
        <v>0.1289</v>
      </c>
    </row>
    <row r="13" customFormat="false" ht="15" hidden="false" customHeight="false" outlineLevel="0" collapsed="false">
      <c r="A13" s="11" t="s">
        <v>251</v>
      </c>
      <c r="B13" s="12" t="n">
        <v>0.0999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3"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90"/>
  </cols>
  <sheetData>
    <row r="1" customFormat="false" ht="17.35" hidden="false" customHeight="false" outlineLevel="0" collapsed="false">
      <c r="A1" s="13" t="s">
        <v>253</v>
      </c>
    </row>
    <row r="2" customFormat="false" ht="39.75" hidden="false" customHeight="true" outlineLevel="0" collapsed="false">
      <c r="A2" s="14" t="s">
        <v>254</v>
      </c>
      <c r="B2" s="15"/>
    </row>
    <row r="3" customFormat="false" ht="39.75" hidden="false" customHeight="true" outlineLevel="0" collapsed="false">
      <c r="A3" s="14" t="s">
        <v>7</v>
      </c>
      <c r="B3" s="15" t="s">
        <v>255</v>
      </c>
    </row>
    <row r="4" customFormat="false" ht="39.75" hidden="false" customHeight="true" outlineLevel="0" collapsed="false">
      <c r="A4" s="14" t="s">
        <v>256</v>
      </c>
      <c r="B4" s="15" t="s">
        <v>257</v>
      </c>
    </row>
    <row r="5" customFormat="false" ht="39.75" hidden="false" customHeight="true" outlineLevel="0" collapsed="false">
      <c r="A5" s="14" t="s">
        <v>258</v>
      </c>
      <c r="B5" s="15" t="s">
        <v>259</v>
      </c>
    </row>
    <row r="6" customFormat="false" ht="39.75" hidden="false" customHeight="true" outlineLevel="0" collapsed="false">
      <c r="A6" s="14" t="s">
        <v>260</v>
      </c>
      <c r="B6" s="15" t="s">
        <v>261</v>
      </c>
    </row>
    <row r="7" customFormat="false" ht="39.75" hidden="false" customHeight="true" outlineLevel="0" collapsed="false">
      <c r="A7" s="14" t="s">
        <v>262</v>
      </c>
      <c r="B7" s="15" t="s">
        <v>263</v>
      </c>
    </row>
    <row r="8" customFormat="false" ht="39.75" hidden="false" customHeight="true" outlineLevel="0" collapsed="false">
      <c r="A8" s="14" t="s">
        <v>264</v>
      </c>
      <c r="B8" s="15" t="s">
        <v>265</v>
      </c>
    </row>
    <row r="9" customFormat="false" ht="39.75" hidden="false" customHeight="true" outlineLevel="0" collapsed="false">
      <c r="A9" s="14" t="s">
        <v>266</v>
      </c>
      <c r="B9" s="15" t="s">
        <v>267</v>
      </c>
    </row>
    <row r="10" customFormat="false" ht="39.75" hidden="false" customHeight="true" outlineLevel="0" collapsed="false">
      <c r="A10" s="14" t="s">
        <v>10</v>
      </c>
      <c r="B10" s="15" t="s">
        <v>268</v>
      </c>
    </row>
    <row r="11" customFormat="false" ht="39.75" hidden="false" customHeight="true" outlineLevel="0" collapsed="false">
      <c r="A11" s="14" t="s">
        <v>269</v>
      </c>
      <c r="B11" s="15" t="s">
        <v>270</v>
      </c>
    </row>
    <row r="12" customFormat="false" ht="39.75" hidden="false" customHeight="true" outlineLevel="0" collapsed="false">
      <c r="A12" s="14" t="s">
        <v>271</v>
      </c>
      <c r="B12" s="15" t="s">
        <v>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2026-03-18T17:38:04Z</dcterms:created>
  <dc:creator>openpyxl</dc:creator>
  <dc:description/>
  <dc:language>en-US</dc:language>
  <cp:lastModifiedBy/>
  <dcterms:modified xsi:type="dcterms:W3CDTF">2026-03-18T17:38:14Z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